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6d0e09ca7494d01" /></Relationships>
</file>

<file path=xl/workbook.xml><?xml version="1.0" encoding="utf-8"?>
<x:workbook xmlns:x="http://schemas.openxmlformats.org/spreadsheetml/2006/main">
  <x:sheets>
    <x:sheet xmlns:r="http://schemas.openxmlformats.org/officeDocument/2006/relationships" name="Data" sheetId="1" r:id="Rb1dcddb9033e41d5"/>
    <x:sheet xmlns:r="http://schemas.openxmlformats.org/officeDocument/2006/relationships" name="Parameters" sheetId="2" r:id="R9fb685213dd44f18"/>
    <x:sheet xmlns:r="http://schemas.openxmlformats.org/officeDocument/2006/relationships" name="NISR_Source_Mapping" sheetId="3" r:id="Rbffdb314c1884efb"/>
    <x:sheet xmlns:r="http://schemas.openxmlformats.org/officeDocument/2006/relationships" name="Report_Register" sheetId="4" r:id="Rcdc0468d37e346a8"/>
    <x:sheet xmlns:r="http://schemas.openxmlformats.org/officeDocument/2006/relationships" name="Proposed_Updates" sheetId="5" r:id="R941a4167aa84498c"/>
    <x:sheet xmlns:r="http://schemas.openxmlformats.org/officeDocument/2006/relationships" name="Validation_Lists" sheetId="6" r:id="R0733aa696443465b"/>
    <x:sheet xmlns:r="http://schemas.openxmlformats.org/officeDocument/2006/relationships" name="Automation_Guide" sheetId="7" r:id="R978202028c7b4f15"/>
  </x:sheets>
</x:workbook>
</file>

<file path=xl/sharedStrings.xml><?xml version="1.0" encoding="utf-8"?>
<x:sst xmlns:x="http://schemas.openxmlformats.org/spreadsheetml/2006/main">
  <x:si>
    <x:t xml:space="preserve">Indicator</x:t>
  </x:si>
  <x:si>
    <x:t xml:space="preserve">Series</x:t>
  </x:si>
  <x:si>
    <x:t xml:space="preserve">Series_Code</x:t>
  </x:si>
  <x:si>
    <x:t xml:space="preserve">Composite </x:t>
  </x:si>
  <x:si>
    <x:t xml:space="preserve">Unit_Code</x:t>
  </x:si>
  <x:si>
    <x:t xml:space="preserve">Occupation </x:t>
  </x:si>
  <x:si>
    <x:t xml:space="preserve">Occupation_Code</x:t>
  </x:si>
  <x:si>
    <x:t xml:space="preserve">Ref_Area</x:t>
  </x:si>
  <x:si>
    <x:t xml:space="preserve">Province</x:t>
  </x:si>
  <x:si>
    <x:t xml:space="preserve">District</x:t>
  </x:si>
  <x:si>
    <x:t xml:space="preserve">Urbanization</x:t>
  </x:si>
  <x:si>
    <x:t xml:space="preserve">Urbanization_Code</x:t>
  </x:si>
  <x:si>
    <x:t xml:space="preserve">Education </x:t>
  </x:si>
  <x:si>
    <x:t xml:space="preserve">Education_Code</x:t>
  </x:si>
  <x:si>
    <x:t xml:space="preserve">Data Source</x:t>
  </x:si>
  <x:si>
    <x:t xml:space="preserve">Description</x:t>
  </x:si>
  <x:si>
    <x:t xml:space="preserve">Seats</x:t>
  </x:si>
  <x:si>
    <x:t xml:space="preserve">Age_Code</x:t>
  </x:si>
  <x:si>
    <x:t xml:space="preserve">Age</x:t>
  </x:si>
  <x:si>
    <x:t xml:space="preserve">Sex_Code</x:t>
  </x:si>
  <x:si>
    <x:t xml:space="preserve">Sex</x:t>
  </x:si>
  <x:si>
    <x:t xml:space="preserve">Table name and number</x:t>
  </x:si>
  <x:si>
    <x:t xml:space="preserve">1.1.1</x:t>
  </x:si>
  <x:si>
    <x:t xml:space="preserve">Proportion of population below the international poverty line, by sex, age, employment status and geographical location (urban/rural)</x:t>
  </x:si>
  <x:si>
    <x:t xml:space="preserve">SI_POV_DAY1</x:t>
  </x:si>
  <x:si>
    <x:t xml:space="preserve">_T</x:t>
  </x:si>
  <x:si>
    <x:t xml:space="preserve">PT</x:t>
  </x:si>
  <x:si>
    <x:t xml:space="preserve">RW</x:t>
  </x:si>
  <x:si>
    <x:t xml:space="preserve">World Bank</x:t>
  </x:si>
  <x:si>
    <x:t xml:space="preserve">Proportion of population below international poverty line</x:t>
  </x:si>
  <x:si>
    <x:t xml:space="preserve">1.2.1</x:t>
  </x:si>
  <x:si>
    <x:t xml:space="preserve">Proportion of population living below the national poverty line, by sex and age</x:t>
  </x:si>
  <x:si>
    <x:t xml:space="preserve">SI_POV_NAHC</x:t>
  </x:si>
  <x:si>
    <x:t xml:space="preserve">EICV, NISR</x:t>
  </x:si>
  <x:si>
    <x:t xml:space="preserve">Proportion of population living below the national poverty line</x:t>
  </x:si>
  <x:si>
    <x:t xml:space="preserve">1.2.2</x:t>
  </x:si>
  <x:si>
    <x:t xml:space="preserve">Proportion of men, women and children of all ages living in poverty in all its dimensions according to national definitions</x:t>
  </x:si>
  <x:si>
    <x:t xml:space="preserve">SI_POV_NMPI</x:t>
  </x:si>
  <x:si>
    <x:t xml:space="preserve">IX</x:t>
  </x:si>
  <x:si>
    <x:t xml:space="preserve">EICV and Census MPI Report, NISR</x:t>
  </x:si>
  <x:si>
    <x:t xml:space="preserve">Proportion of population living in poverty in all its dimensions according to national definitions</x:t>
  </x:si>
  <x:si>
    <x:t xml:space="preserve">1.3.1</x:t>
  </x:si>
  <x:si>
    <x:t xml:space="preserve">Proportion of population covered by social protection floors/systems, by sex, distinguishing children, unemployed persons, older persons, persons with disabilities, pregnant women, newborns, work-injury victims and the poor and the vulnerable - by Core SP programmes</x:t>
  </x:si>
  <x:si>
    <x:t xml:space="preserve">_L_RW_010301_1</x:t>
  </x:si>
  <x:si>
    <x:t xml:space="preserve">BLJSR/Social protection (Minaloc: 2021/22), RSSB, 2022/23</x:t>
  </x:si>
  <x:si>
    <x:t xml:space="preserve">Proportion of population covered by core Social Protection programs</x:t>
  </x:si>
  <x:si>
    <x:t xml:space="preserve">1.4.1</x:t>
  </x:si>
  <x:si>
    <x:t xml:space="preserve">Proportion of population living in households with access to basic services </x:t>
  </x:si>
  <x:si>
    <x:t xml:space="preserve">SP_ACS_BSRV</x:t>
  </x:si>
  <x:si>
    <x:t xml:space="preserve">BLJSR 2019/20</x:t>
  </x:si>
  <x:si>
    <x:t xml:space="preserve">1.4.2</x:t>
  </x:si>
  <x:si>
    <x:t xml:space="preserve">Proportion of total adult population with secure tenure rights to land, with legally recognized documentation and who perceive their rights to land as secure, by sex</x:t>
  </x:si>
  <x:si>
    <x:t xml:space="preserve">SP_LGL_LNDDOC</x:t>
  </x:si>
  <x:si>
    <x:t xml:space="preserve">NUMBER</x:t>
  </x:si>
  <x:si>
    <x:t xml:space="preserve">Rwanda Land Dashboard, 2023</x:t>
  </x:si>
  <x:si>
    <x:t xml:space="preserve">Total Number of adult population who have land</x:t>
  </x:si>
  <x:si>
    <x:t xml:space="preserve">1.5.1</x:t>
  </x:si>
  <x:si>
    <x:t xml:space="preserve">Number of deaths, missing persons and directly affected persons attributed to disasters per 100,000 population</x:t>
  </x:si>
  <x:si>
    <x:t xml:space="preserve">VC_DSR_MORT</x:t>
  </x:si>
  <x:si>
    <x:t xml:space="preserve">PER_100000_POP</x:t>
  </x:si>
  <x:si>
    <x:t xml:space="preserve">Annual disaster effects situation report , MINEMA</x:t>
  </x:si>
  <x:si>
    <x:t xml:space="preserve">Number of deaths due to disaster per 100,000 population</x:t>
  </x:si>
  <x:si>
    <x:t xml:space="preserve">1.5.2</x:t>
  </x:si>
  <x:si>
    <x:t xml:space="preserve">Direct economic loss attributed to disasters in relation to global gross domestic product (GDP). Proxy: Disaster effects (Unit- number)</x:t>
  </x:si>
  <x:si>
    <x:t xml:space="preserve">_L_RW_010502_1</x:t>
  </x:si>
  <x:si>
    <x:t xml:space="preserve">Number of Houses damaged by disaster</x:t>
  </x:si>
  <x:si>
    <x:t xml:space="preserve">1.5.4</x:t>
  </x:si>
  <x:si>
    <x:t xml:space="preserve">Proportion of local governments that adopt and implement local disaster risk reduction strategies in line with national disaster risk reduction strategies </x:t>
  </x:si>
  <x:si>
    <x:t xml:space="preserve">SG_DSR_SILS</x:t>
  </x:si>
  <x:si>
    <x:t xml:space="preserve">Ministry in Charge of Emergency Management (MINEMA)</x:t>
  </x:si>
  <x:si>
    <x:t xml:space="preserve">Proportion of local governments that adopt and implement local disaster risk reduction strategies in line with national disaster risk reduction strategies</x:t>
  </x:si>
  <x:si>
    <x:t xml:space="preserve">1.a.2</x:t>
  </x:si>
  <x:si>
    <x:t xml:space="preserve">Proportion of total government spending on essential services (education, health and social protection) </x:t>
  </x:si>
  <x:si>
    <x:t xml:space="preserve">SG_XPD_HLTH</x:t>
  </x:si>
  <x:si>
    <x:t xml:space="preserve">Ministry of Finance and Economic Planning (MINECOFIN)</x:t>
  </x:si>
  <x:si>
    <x:t xml:space="preserve">Proportion of total government spending on health</x:t>
  </x:si>
  <x:si>
    <x:t xml:space="preserve">1.b.1</x:t>
  </x:si>
  <x:si>
    <x:t xml:space="preserve">Proportion of government recurrent and capital spending to sectors that disproportionately benefit women, the poor and vulnerable groups - Social Protection</x:t>
  </x:si>
  <x:si>
    <x:t xml:space="preserve">_L_RW_010B01_1</x:t>
  </x:si>
  <x:si>
    <x:t xml:space="preserve">USD</x:t>
  </x:si>
  <x:si>
    <x:t xml:space="preserve">Amount spent in Social Protection program</x:t>
  </x:si>
  <x:si>
    <x:t xml:space="preserve">2.1.1</x:t>
  </x:si>
  <x:si>
    <x:t xml:space="preserve">Prevalence of undernourishment</x:t>
  </x:si>
  <x:si>
    <x:t xml:space="preserve">SN_ITK_DEFC</x:t>
  </x:si>
  <x:si>
    <x:t xml:space="preserve">NISR, Food Balance Sheets (FBS) </x:t>
  </x:si>
  <x:si>
    <x:t xml:space="preserve">Percentage of food insecure households</x:t>
  </x:si>
  <x:si>
    <x:t xml:space="preserve">2.1.2</x:t>
  </x:si>
  <x:si>
    <x:t xml:space="preserve">Prevalence of moderate or severe food insecurity in the population, based on the Food Insecurity Experience Scale (FIES) - by using CARI Method (Moderately food insecure)</x:t>
  </x:si>
  <x:si>
    <x:t xml:space="preserve">_L_RW_020102_1</x:t>
  </x:si>
  <x:si>
    <x:t xml:space="preserve">CFSVA, NISR, MINAGRI</x:t>
  </x:si>
  <x:si>
    <x:t xml:space="preserve">Moderately food insecure based on CARI Method</x:t>
  </x:si>
  <x:si>
    <x:t xml:space="preserve">2.2.1</x:t>
  </x:si>
  <x:si>
    <x:t xml:space="preserve">Prevalence of stunting (height for age &lt;-2 standard deviation from the median of the World Health Organization (WHO) Child Growth Standards) among children under 5 years of age</x:t>
  </x:si>
  <x:si>
    <x:t xml:space="preserve">SH_STA_STNT</x:t>
  </x:si>
  <x:si>
    <x:t xml:space="preserve">DHS, NISR</x:t>
  </x:si>
  <x:si>
    <x:t xml:space="preserve">Proportion of children moderately or severely stunted</x:t>
  </x:si>
  <x:si>
    <x:t xml:space="preserve">2.2.2</x:t>
  </x:si>
  <x:si>
    <x:t xml:space="preserve">Prevalence of malnutrition (weight for height &gt;+2 or &lt;-2 standard deviation from the median of the WHO Child Growth Standards) among children under 5 years of age, by type (wasting or overweight) </x:t>
  </x:si>
  <x:si>
    <x:t xml:space="preserve">SH_STA_WAST</x:t>
  </x:si>
  <x:si>
    <x:t xml:space="preserve">Proportion of children moderately or severely wasted</x:t>
  </x:si>
  <x:si>
    <x:t xml:space="preserve">Y0T4</x:t>
  </x:si>
  <x:si>
    <x:t xml:space="preserve">&lt;5</x:t>
  </x:si>
  <x:si>
    <x:t xml:space="preserve">2.5.1</x:t>
  </x:si>
  <x:si>
    <x:t xml:space="preserve">Number of plant and animal genetic resources for food and agriculture secured in either medium- or long-term conservation facilities - Plant genetic resources</x:t>
  </x:si>
  <x:si>
    <x:t xml:space="preserve">_L_RW_020501_1</x:t>
  </x:si>
  <x:si>
    <x:t xml:space="preserve">MINAGRI (Rwanda National Gene Bank-RNGB)</x:t>
  </x:si>
  <x:si>
    <x:t xml:space="preserve">Plant Genetic Resources</x:t>
  </x:si>
  <x:si>
    <x:t xml:space="preserve">3.1.1</x:t>
  </x:si>
  <x:si>
    <x:t xml:space="preserve">Maternal mortality ratio</x:t>
  </x:si>
  <x:si>
    <x:t xml:space="preserve">SH_STA_MORT</x:t>
  </x:si>
  <x:si>
    <x:t xml:space="preserve">PER_100000_LIVE_BIRTHS</x:t>
  </x:si>
  <x:si>
    <x:t xml:space="preserve">3.1.2</x:t>
  </x:si>
  <x:si>
    <x:t xml:space="preserve">Proportion of births attended by skilled health personnel</x:t>
  </x:si>
  <x:si>
    <x:t xml:space="preserve">SH_STA_BRTC</x:t>
  </x:si>
  <x:si>
    <x:t xml:space="preserve">3.2.1</x:t>
  </x:si>
  <x:si>
    <x:t xml:space="preserve">Under-five mortality rate</x:t>
  </x:si>
  <x:si>
    <x:t xml:space="preserve">SH_DYN_MORT</x:t>
  </x:si>
  <x:si>
    <x:t xml:space="preserve">PER_1000_LIVE_BIRTHS</x:t>
  </x:si>
  <x:si>
    <x:t xml:space="preserve">3.2.2</x:t>
  </x:si>
  <x:si>
    <x:t xml:space="preserve">Neonatal mortality rate</x:t>
  </x:si>
  <x:si>
    <x:t xml:space="preserve">SH_DYN_NMRT</x:t>
  </x:si>
  <x:si>
    <x:t xml:space="preserve">M0</x:t>
  </x:si>
  <x:si>
    <x:t xml:space="preserve">&lt;1M</x:t>
  </x:si>
  <x:si>
    <x:t xml:space="preserve">3.3.1</x:t>
  </x:si>
  <x:si>
    <x:t xml:space="preserve">Number of new HIV infections per 1,000 uninfected population, by sex, age and key populations</x:t>
  </x:si>
  <x:si>
    <x:t xml:space="preserve">SH_HIV_INCD</x:t>
  </x:si>
  <x:si>
    <x:t xml:space="preserve">PER_1000_UNINFECTED_POP</x:t>
  </x:si>
  <x:si>
    <x:t xml:space="preserve">Rwanda Population- Based HIV Impact Assessment (RPHIA 2013-
14 )
RPHIA 2018-19</x:t>
  </x:si>
  <x:si>
    <x:t xml:space="preserve">Number of new HIV infections per 1,000 uninfected population</x:t>
  </x:si>
  <x:si>
    <x:t xml:space="preserve">3.3.2</x:t>
  </x:si>
  <x:si>
    <x:t xml:space="preserve">Tuberculosis incidence per 100,000 population</x:t>
  </x:si>
  <x:si>
    <x:t xml:space="preserve">SH_TBS_INCD</x:t>
  </x:si>
  <x:si>
    <x:t xml:space="preserve">RBC, (WHO Global TB Report 2017), Health sector FY 2021/2022 backward looking joint sector review report</x:t>
  </x:si>
  <x:si>
    <x:t xml:space="preserve">Tuberculosis incidence</x:t>
  </x:si>
  <x:si>
    <x:t xml:space="preserve">3.3.3</x:t>
  </x:si>
  <x:si>
    <x:t xml:space="preserve">Malaria incidence per 1,000 population</x:t>
  </x:si>
  <x:si>
    <x:t xml:space="preserve">SH_STA_MALR</x:t>
  </x:si>
  <x:si>
    <x:t xml:space="preserve">PER_1000_POP</x:t>
  </x:si>
  <x:si>
    <x:t xml:space="preserve">HMIS, Rwanda Biomedical Centre (RBC), MoH Annual performance report  2022 (Malaria report
)</x:t>
  </x:si>
  <x:si>
    <x:t xml:space="preserve">Malaria incidence per 1,000 population at risk</x:t>
  </x:si>
  <x:si>
    <x:t xml:space="preserve">3.3.5</x:t>
  </x:si>
  <x:si>
    <x:t xml:space="preserve">Number of people requiring interventions against neglected tropical diseases</x:t>
  </x:si>
  <x:si>
    <x:t xml:space="preserve">SH_TRP_INTVN</x:t>
  </x:si>
  <x:si>
    <x:t xml:space="preserve">RBC , NTD report</x:t>
  </x:si>
  <x:si>
    <x:t xml:space="preserve">3.4.2</x:t>
  </x:si>
  <x:si>
    <x:t xml:space="preserve">Suicide mortality rate</x:t>
  </x:si>
  <x:si>
    <x:t xml:space="preserve">SH_STA_SCIDE</x:t>
  </x:si>
  <x:si>
    <x:t xml:space="preserve">RIB</x:t>
  </x:si>
  <x:si>
    <x:t xml:space="preserve">3.5.2</x:t>
  </x:si>
  <x:si>
    <x:t xml:space="preserve">Alcohol per capita consumption (aged 15 years and older) within a calendar year in litres of pure
alcohol
National proxy: Proportion of heavy drinkers (≥60g of pure alcohol/ six standard drinks on average per
occasion among men and ≥40g of pure alcohol4 standard drinks on average per occasion among
women).</x:t>
  </x:si>
  <x:si>
    <x:t xml:space="preserve">SH_ALC_CONSPT</x:t>
  </x:si>
  <x:si>
    <x:t xml:space="preserve">MoH, Steps Survey</x:t>
  </x:si>
  <x:si>
    <x:t xml:space="preserve">The proportion of heavy drinkers (≥60g of pure alcohol/ six standard drinks on average per
occasion among men and ≥40g of pure alcohol4 standard drinks on average per occasion among
women).</x:t>
  </x:si>
  <x:si>
    <x:t xml:space="preserve">3.6.1</x:t>
  </x:si>
  <x:si>
    <x:t xml:space="preserve">Death rate due to road traffic injuries</x:t>
  </x:si>
  <x:si>
    <x:t xml:space="preserve">SH_STA_TRAF</x:t>
  </x:si>
  <x:si>
    <x:t xml:space="preserve">NISR, Statistical Yearbook</x:t>
  </x:si>
  <x:si>
    <x:t xml:space="preserve">3.7.1</x:t>
  </x:si>
  <x:si>
    <x:t xml:space="preserve">Proportion of women of reproductive age (aged 15-49 years) who have their need for family planning satisfied with modern methods </x:t>
  </x:si>
  <x:si>
    <x:t xml:space="preserve">SH_FPL_MTMM</x:t>
  </x:si>
  <x:si>
    <x:t xml:space="preserve">Proportion of women married or in a union of reproductive age (aged 15-49 years) who have their need for family planning satisfied with modern methods</x:t>
  </x:si>
  <x:si>
    <x:t xml:space="preserve">Y15T49</x:t>
  </x:si>
  <x:si>
    <x:t xml:space="preserve">15-49</x:t>
  </x:si>
  <x:si>
    <x:t xml:space="preserve">F</x:t>
  </x:si>
  <x:si>
    <x:t xml:space="preserve">Female</x:t>
  </x:si>
  <x:si>
    <x:t xml:space="preserve">3.7.2</x:t>
  </x:si>
  <x:si>
    <x:t xml:space="preserve">Adolescent birth rate (aged 10-14 years; aged 15-19 years) per 1,000 women in that age group</x:t>
  </x:si>
  <x:si>
    <x:t xml:space="preserve">SP_DYN_ADKL</x:t>
  </x:si>
  <x:si>
    <x:t xml:space="preserve">Adolescent birth rate (per 1,000 women aged 15-19 years)</x:t>
  </x:si>
  <x:si>
    <x:t xml:space="preserve">Y15T19</x:t>
  </x:si>
  <x:si>
    <x:t xml:space="preserve">15-19</x:t>
  </x:si>
  <x:si>
    <x:t xml:space="preserve">3.8.1</x:t>
  </x:si>
  <x:si>
    <x:t xml:space="preserve">Coverage of essential health services</x:t>
  </x:si>
  <x:si>
    <x:t xml:space="preserve">SH_ACS_UNHC</x:t>
  </x:si>
  <x:si>
    <x:t xml:space="preserve">DHS/STEPS/Census/HMIS</x:t>
  </x:si>
  <x:si>
    <x:t xml:space="preserve">Universal health coverage </x:t>
  </x:si>
  <x:si>
    <x:t xml:space="preserve">3.8.2</x:t>
  </x:si>
  <x:si>
    <x:t xml:space="preserve">Proportion of population with large household expenditures on heath as a share
of total households expenditure or income (out of pocket expenditure)</x:t>
  </x:si>
  <x:si>
    <x:t xml:space="preserve">SH_XPD_EARN25</x:t>
  </x:si>
  <x:si>
    <x:t xml:space="preserve">HMIS (Health sector annual report 2020/21)</x:t>
  </x:si>
  <x:si>
    <x:t xml:space="preserve">Proportion of population with large household expenditures on health (greater than 25%) as a share of total household expenditure or income</x:t>
  </x:si>
  <x:si>
    <x:t xml:space="preserve">3.a.1</x:t>
  </x:si>
  <x:si>
    <x:t xml:space="preserve">Age-standardized prevalence of current tobacco use among persons aged 15 years and older </x:t>
  </x:si>
  <x:si>
    <x:t xml:space="preserve">SH_PRV_SMOK</x:t>
  </x:si>
  <x:si>
    <x:t xml:space="preserve">Age-standardized prevalence of current tobacco use among persons aged 15 years and older</x:t>
  </x:si>
  <x:si>
    <x:t xml:space="preserve">Y_GE15</x:t>
  </x:si>
  <x:si>
    <x:t xml:space="preserve">15+</x:t>
  </x:si>
  <x:si>
    <x:t xml:space="preserve">3.b.1</x:t>
  </x:si>
  <x:si>
    <x:t xml:space="preserve">Proportion of the target population covered by all vaccines included in their national programme</x:t>
  </x:si>
  <x:si>
    <x:t xml:space="preserve">SH_ACS_DTP3</x:t>
  </x:si>
  <x:si>
    <x:t xml:space="preserve">DHS, RBC</x:t>
  </x:si>
  <x:si>
    <x:t xml:space="preserve">Proportion of the target population with access to 3 doses of diphtheria-tetanus-pertussis (DTP3)</x:t>
  </x:si>
  <x:si>
    <x:t xml:space="preserve">M12T23</x:t>
  </x:si>
  <x:si>
    <x:t xml:space="preserve"> 12M-23M</x:t>
  </x:si>
  <x:si>
    <x:t xml:space="preserve">3.c.1</x:t>
  </x:si>
  <x:si>
    <x:t xml:space="preserve">Health worker density and distribution - Doctors</x:t>
  </x:si>
  <x:si>
    <x:t xml:space="preserve">SH_MED_DEN</x:t>
  </x:si>
  <x:si>
    <x:t xml:space="preserve">Doctors</x:t>
  </x:si>
  <x:si>
    <x:t xml:space="preserve">ISCO08_221</x:t>
  </x:si>
  <x:si>
    <x:t xml:space="preserve">Ministry of Health</x:t>
  </x:si>
  <x:si>
    <x:t xml:space="preserve">Health workder density, Doctors</x:t>
  </x:si>
  <x:si>
    <x:t xml:space="preserve">3.d.1</x:t>
  </x:si>
  <x:si>
    <x:t xml:space="preserve">International Health Regulations (IHR) capacity and health emergency preparedness, Legislation</x:t>
  </x:si>
  <x:si>
    <x:t xml:space="preserve">SH_IHR_CAPS</x:t>
  </x:si>
  <x:si>
    <x:t xml:space="preserve">IHR_01</x:t>
  </x:si>
  <x:si>
    <x:t xml:space="preserve">WHO, International Health Regulations (2005) Monitoring Framework Country Profiles</x:t>
  </x:si>
  <x:si>
    <x:t xml:space="preserve">International Health Regulations (IHR) capacity, by type of IHR capacity</x:t>
  </x:si>
  <x:si>
    <x:t xml:space="preserve">4.1.1</x:t>
  </x:si>
  <x:si>
    <x:t xml:space="preserve">Proportion of children and young people (a) in grades 2/3; (b) at the end of primary; and (c) at the end of lower secondary achieving at least a minimum proficiency level in (i) reading and (ii) mathematics, by sex - Literacy rate of children in primary two (P2)</x:t>
  </x:si>
  <x:si>
    <x:t xml:space="preserve">_L_RW_040101_1</x:t>
  </x:si>
  <x:si>
    <x:t xml:space="preserve">Some primary education, grades 2 or 3</x:t>
  </x:si>
  <x:si>
    <x:t xml:space="preserve">ISCED11A_0_G23</x:t>
  </x:si>
  <x:si>
    <x:t xml:space="preserve">REB, Learning Achievement in Rwanda schools (2016 through LARS II and 2018)</x:t>
  </x:si>
  <x:si>
    <x:t xml:space="preserve">Literacy rate of children in P2 </x:t>
  </x:si>
  <x:si>
    <x:t xml:space="preserve">4.2.1</x:t>
  </x:si>
  <x:si>
    <x:t xml:space="preserve">Proportion of children under 5 years of age who are developmentally on track in health, learning and psychosocial well-being, by sex - Early Child Development index score (aged 36-59 months)</x:t>
  </x:si>
  <x:si>
    <x:t xml:space="preserve">SE_DEV_ONTRK</x:t>
  </x:si>
  <x:si>
    <x:t xml:space="preserve">Pre-primary</x:t>
  </x:si>
  <x:si>
    <x:t xml:space="preserve">ISCED97_0</x:t>
  </x:si>
  <x:si>
    <x:t xml:space="preserve">NISR,DHS2019/2020</x:t>
  </x:si>
  <x:si>
    <x:t xml:space="preserve">Proportion of children aged 36-59 months who are developmentally on track in at least three of the following domains: literacy-numeracy, physical development, social-emotional development, and learning</x:t>
  </x:si>
  <x:si>
    <x:t xml:space="preserve">M36T59</x:t>
  </x:si>
  <x:si>
    <x:t xml:space="preserve">36M-59M</x:t>
  </x:si>
  <x:si>
    <x:t xml:space="preserve">4.2.2</x:t>
  </x:si>
  <x:si>
    <x:t xml:space="preserve">Participation rate in organized learning (one year before the official primary entry age), by sex </x:t>
  </x:si>
  <x:si>
    <x:t xml:space="preserve">SE_PRE_PARTN</x:t>
  </x:si>
  <x:si>
    <x:t xml:space="preserve">MINEDUC, Education Admin data, 2023</x:t>
  </x:si>
  <x:si>
    <x:t xml:space="preserve">Participation rate in organized learning (one year before the official primary entry age)</x:t>
  </x:si>
  <x:si>
    <x:t xml:space="preserve">4.3.1</x:t>
  </x:si>
  <x:si>
    <x:t xml:space="preserve">Participation rate of youth and adults in formal and non-formal education and training in the previous 12 months, by sex </x:t>
  </x:si>
  <x:si>
    <x:t xml:space="preserve">SE_ADT_EDUCTRN</x:t>
  </x:si>
  <x:si>
    <x:r>
      <x:rPr>
        <x:sz val="9"/>
        <x:color rgb="FF0070C0"/>
        <x:rFont val="Tahoma"/>
        <x:family val="2"/>
      </x:rPr>
      <x:t xml:space="preserve">MINEDUC MIS/
Education Admin data, 2023</x:t>
    </x:r>
  </x:si>
  <x:si>
    <x:t xml:space="preserve">Participation rate in formal and non-formal education and training</x:t>
  </x:si>
  <x:si>
    <x:t xml:space="preserve">Y_GE16</x:t>
  </x:si>
  <x:si>
    <x:t xml:space="preserve">16+</x:t>
  </x:si>
  <x:si>
    <x:t xml:space="preserve">4.4.1</x:t>
  </x:si>
  <x:si>
    <x:t xml:space="preserve">Proportion of youth and adults with information and communications technology (ICT) skills, by type of skill </x:t>
  </x:si>
  <x:si>
    <x:t xml:space="preserve">SE_ADT_ACTS</x:t>
  </x:si>
  <x:si>
    <x:t xml:space="preserve">Proportion of youth and adults with information and communications technology (ICT) skills - Copying (Moving) a file or a folder </x:t>
  </x:si>
  <x:si>
    <x:t xml:space="preserve">4.5.1</x:t>
  </x:si>
  <x:si>
    <x:t xml:space="preserve">Parity indices (female/male, rural/urban, bottom/top wealth quantile and others such as disability status, indigenous peoples and conflict-affected, as data become available) for all education indicators on this list that can be disaggregated </x:t>
  </x:si>
  <x:si>
    <x:t xml:space="preserve">_L_RW_040501_1</x:t>
  </x:si>
  <x:si>
    <x:t xml:space="preserve">Primary education</x:t>
  </x:si>
  <x:si>
    <x:t xml:space="preserve">ISCED11_1</x:t>
  </x:si>
  <x:si>
    <x:t xml:space="preserve">Gender parity index for participation rate in formal and non-formal education and training - Primary, Net attendance rate</x:t>
  </x:si>
  <x:si>
    <x:t xml:space="preserve">4.6.1</x:t>
  </x:si>
  <x:si>
    <x:t xml:space="preserve">Proportion of population in a given age group achieving at least a fixed level of proficiency in functional (a) literacy and (b) numeracy skills, by sex </x:t>
  </x:si>
  <x:si>
    <x:t xml:space="preserve">_L_RW_040601_1</x:t>
  </x:si>
  <x:si>
    <x:t xml:space="preserve">MINEDUC</x:t>
  </x:si>
  <x:si>
    <x:t xml:space="preserve">Proportion of population achieving at least a fixed level of proficiency in functional skills - All levels, Literacy rate (%) among youth population</x:t>
  </x:si>
  <x:si>
    <x:t xml:space="preserve">4.a.1</x:t>
  </x:si>
  <x:si>
    <x:t xml:space="preserve"> Proportion of schools with access to (a) electricity; (b) the Internet for pedagogical purposes; (c) computers for pedagogical purposes; (d) adapted infrastructure and materials for students with disabilities; (e) basic drinking water; (f) single-sex basic sanitation facilities; and (g) basic handwashing facilities (as per the WASH indicator definitions)</x:t>
  </x:si>
  <x:si>
    <x:t xml:space="preserve">SE_ACS_ELECT</x:t>
  </x:si>
  <x:si>
    <x:t xml:space="preserve">Pre-primary education</x:t>
  </x:si>
  <x:si>
    <x:t xml:space="preserve">ISCED11_02</x:t>
  </x:si>
  <x:si>
    <x:t xml:space="preserve">MINEDUC, Statistical Yearbook 2022</x:t>
  </x:si>
  <x:si>
    <x:t xml:space="preserve">Proportion of schools with access to electricity - Nursery</x:t>
  </x:si>
  <x:si>
    <x:t xml:space="preserve">4.c.1</x:t>
  </x:si>
  <x:si>
    <x:t xml:space="preserve">Proportion of teachers in: (a) pre-primary; (b) primary; (c) lower secondary; and (d) upper secondary education who have received at least the minimum organized teacher training (e.g. pedagogical training) pre-service or in-service required for teaching at the relevant level in a given country</x:t>
  </x:si>
  <x:si>
    <x:t xml:space="preserve">SE_TRA_GRDL</x:t>
  </x:si>
  <x:si>
    <x:t xml:space="preserve">Proportion of teachers who have received at least the minimum organized teacher training (e.g. pedagogical training) pre-service or in-service required for teaching at the relevant level in a given country</x:t>
  </x:si>
  <x:si>
    <x:t xml:space="preserve">5.2.1</x:t>
  </x:si>
  <x:si>
    <x:t xml:space="preserve">Proportion of ever-partnered women and girls aged 15 years and older subjected to physical, sexual or psychological violence by a current or former intimate partner in the previous 12 months, by form of violence and by age</x:t>
  </x:si>
  <x:si>
    <x:t xml:space="preserve">VC_VAW_PHYV</x:t>
  </x:si>
  <x:si>
    <x:t xml:space="preserve">Proportion of ever-partnered women and girls subjected to physical violence by a current or former intimate partner in the previous 12 months</x:t>
  </x:si>
  <x:si>
    <x:t xml:space="preserve">5.2.2</x:t>
  </x:si>
  <x:si>
    <x:t xml:space="preserve">Proportion of women and girls aged 15 years and older subjected to sexual violence by persons other than an intimate partner in the previous 12 months, by age and place of occurrence</x:t>
  </x:si>
  <x:si>
    <x:t xml:space="preserve">VC_VAW_NONMARR</x:t>
  </x:si>
  <x:si>
    <x:t xml:space="preserve">Proportion of women and girls aged 15 years and older subjected to sexual violence by persons other than an intimate partner in the previous 12 months</x:t>
  </x:si>
  <x:si>
    <x:t xml:space="preserve">5.3.1</x:t>
  </x:si>
  <x:si>
    <x:t xml:space="preserve">Proportion of women aged 20-24 years who were married or in a union before age 15 and before age 18 </x:t>
  </x:si>
  <x:si>
    <x:t xml:space="preserve">SP_DYN_MRBF15</x:t>
  </x:si>
  <x:si>
    <x:t xml:space="preserve">Proportion of women aged 20-24 years who were married or in a union before age 15</x:t>
  </x:si>
  <x:si>
    <x:t xml:space="preserve">Y0T14</x:t>
  </x:si>
  <x:si>
    <x:t xml:space="preserve">&lt; 15</x:t>
  </x:si>
  <x:si>
    <x:t xml:space="preserve">5.4.1</x:t>
  </x:si>
  <x:si>
    <x:t xml:space="preserve">Proportion of time spent on unpaid domestic and care work, by sex, age and location </x:t>
  </x:si>
  <x:si>
    <x:t xml:space="preserve">SL_DOM_TSPDCW</x:t>
  </x:si>
  <x:si>
    <x:t xml:space="preserve">LFS, NISR</x:t>
  </x:si>
  <x:si>
    <x:t xml:space="preserve">Proportion of time spent on unpaid care work -  (in hours per week)</x:t>
  </x:si>
  <x:si>
    <x:t xml:space="preserve">5.5.1</x:t>
  </x:si>
  <x:si>
    <x:t xml:space="preserve">Proportion of seats held by (a) women in national parliaments and (b) local governments</x:t>
  </x:si>
  <x:si>
    <x:t xml:space="preserve">_L_RW_050501_1</x:t>
  </x:si>
  <x:si>
    <x:t xml:space="preserve">National Electoral Commission (NEC), GMO</x:t>
  </x:si>
  <x:si>
    <x:t xml:space="preserve">Proportion of seats held by women in national parliaments (% of total number of seats)</x:t>
  </x:si>
  <x:si>
    <x:t xml:space="preserve">Deputies</x:t>
  </x:si>
  <x:si>
    <x:t xml:space="preserve">5.5.2</x:t>
  </x:si>
  <x:si>
    <x:t xml:space="preserve">Proportion of women in managerial positions </x:t>
  </x:si>
  <x:si>
    <x:t xml:space="preserve">IC_GEN_MGTL</x:t>
  </x:si>
  <x:si>
    <x:t xml:space="preserve">Proportion of women in managerial positions</x:t>
  </x:si>
  <x:si>
    <x:t xml:space="preserve">5.6.1</x:t>
  </x:si>
  <x:si>
    <x:t xml:space="preserve">Proportion of women aged 15-49 years who make their own informed decisions regarding sexual relations, contraceptive use and reproductive health care</x:t>
  </x:si>
  <x:si>
    <x:t xml:space="preserve">SH_FPL_INFM</x:t>
  </x:si>
  <x:si>
    <x:t xml:space="preserve">Proportion of women who make their own informed decisions regarding sexual relations, contraceptive use and reproductive health care (% of women aged 15-49 years)</x:t>
  </x:si>
  <x:si>
    <x:t xml:space="preserve">5.a.1</x:t>
  </x:si>
  <x:si>
    <x:t xml:space="preserve">(a) Proportion of total agricultural population with ownership or secure rights over agricultural land, by sex; and (b) share of women among owners or rights-bearers of agricultural land, by type of tenure - Only Women own agriculture</x:t>
  </x:si>
  <x:si>
    <x:t xml:space="preserve">_L_RW_050A01_1</x:t>
  </x:si>
  <x:si>
    <x:t xml:space="preserve">RLMUA</x:t>
  </x:si>
  <x:si>
    <x:t xml:space="preserve">Only Women own agriculture</x:t>
  </x:si>
  <x:si>
    <x:t xml:space="preserve">5.b.1</x:t>
  </x:si>
  <x:si>
    <x:t xml:space="preserve">Proportion of individuals who own a mobile telephone, by sex </x:t>
  </x:si>
  <x:si>
    <x:t xml:space="preserve">IT_MOB_OWN</x:t>
  </x:si>
  <x:si>
    <x:t xml:space="preserve">EICV and RPHC5/2022 </x:t>
  </x:si>
  <x:si>
    <x:t xml:space="preserve">Proportion of individuals who own a mobile telephone (Population 16 years and above)</x:t>
  </x:si>
  <x:si>
    <x:t xml:space="preserve">6.1.1</x:t>
  </x:si>
  <x:si>
    <x:t xml:space="preserve">Proportion of population using safely managed drinking water services - Proportion (%) of Households have access to an improved water source.</x:t>
  </x:si>
  <x:si>
    <x:t xml:space="preserve">_L_RW_060101_1</x:t>
  </x:si>
  <x:si>
    <x:t xml:space="preserve">RDHC nad RPHC5/2022</x:t>
  </x:si>
  <x:si>
    <x:t xml:space="preserve">Proportion (%) of Households have access to an improved water source</x:t>
  </x:si>
  <x:si>
    <x:t xml:space="preserve">6.2.1</x:t>
  </x:si>
  <x:si>
    <x:t xml:space="preserve">Proportion of population using safely managed sanitation services, including a hand-washing facility with soap and water - Proportion (%) of Households using improved sanitation type not shared with other households.</x:t>
  </x:si>
  <x:si>
    <x:t xml:space="preserve">SH_SAN_HNDWSH</x:t>
  </x:si>
  <x:si>
    <x:t xml:space="preserve">Proportion (%) of Households using improved sanitation type not shared with other households.</x:t>
  </x:si>
  <x:si>
    <x:t xml:space="preserve">6.3.2</x:t>
  </x:si>
  <x:si>
    <x:t xml:space="preserve">Proportion of bodies of water with good ambient water quality </x:t>
  </x:si>
  <x:si>
    <x:t xml:space="preserve">EN_H2O_WBAMBQ</x:t>
  </x:si>
  <x:si>
    <x:t xml:space="preserve">RWB</x:t>
  </x:si>
  <x:si>
    <x:t xml:space="preserve">Proportion of bodies of water with good ambient water quality</x:t>
  </x:si>
  <x:si>
    <x:t xml:space="preserve">6.4.1</x:t>
  </x:si>
  <x:si>
    <x:t xml:space="preserve">Change in water-use efficiency over time</x:t>
  </x:si>
  <x:si>
    <x:t xml:space="preserve">ER_H2O_WUEYST</x:t>
  </x:si>
  <x:si>
    <x:t xml:space="preserve">USD_PER_M3</x:t>
  </x:si>
  <x:si>
    <x:t xml:space="preserve">Water Use Efficiency (United States dollars per cubic meter)</x:t>
  </x:si>
  <x:si>
    <x:t xml:space="preserve">6.4.2</x:t>
  </x:si>
  <x:si>
    <x:t xml:space="preserve">Level of water stress: freshwater withdrawal as a proportion of available freshwater resources</x:t>
  </x:si>
  <x:si>
    <x:t xml:space="preserve">ER_H2O_STRESS</x:t>
  </x:si>
  <x:si>
    <x:t xml:space="preserve">6.5.1</x:t>
  </x:si>
  <x:si>
    <x:t xml:space="preserve">Degree of integrated water resources management implementation (0-100)</x:t>
  </x:si>
  <x:si>
    <x:t xml:space="preserve">ER_H2O_IWRMD</x:t>
  </x:si>
  <x:si>
    <x:t xml:space="preserve">Degree of integrated water resources management implementation</x:t>
  </x:si>
  <x:si>
    <x:t xml:space="preserve">6.5.2</x:t>
  </x:si>
  <x:si>
    <x:t xml:space="preserve">Proportion of transboundary basin area with an operational arrangement for water cooperation</x:t>
  </x:si>
  <x:si>
    <x:t xml:space="preserve">EG_TBA_H2CO</x:t>
  </x:si>
  <x:si>
    <x:t xml:space="preserve">Proportion of transboundary basins (river and lake basins and aquifers) with an operational arrangement for water cooperation</x:t>
  </x:si>
  <x:si>
    <x:t xml:space="preserve">6.6.1</x:t>
  </x:si>
  <x:si>
    <x:t xml:space="preserve">Change in the extent of water-related ecosystems over time</x:t>
  </x:si>
  <x:si>
    <x:t xml:space="preserve">EN_WBE_PMPR</x:t>
  </x:si>
  <x:si>
    <x:t xml:space="preserve">RWB, REMA, RFA</x:t>
  </x:si>
  <x:si>
    <x:t xml:space="preserve">Water body extent (permanent) (% of total land area)</x:t>
  </x:si>
  <x:si>
    <x:t xml:space="preserve">6.b.1</x:t>
  </x:si>
  <x:si>
    <x:t xml:space="preserve">Proportion of local administrative units with established and operational policies and procedures for participation of local communities in water and sanitation management</x:t>
  </x:si>
  <x:si>
    <x:t xml:space="preserve">ER_H20_LCMGM</x:t>
  </x:si>
  <x:si>
    <x:t xml:space="preserve">MINALOC</x:t>
  </x:si>
  <x:si>
    <x:t xml:space="preserve">7.1.1</x:t>
  </x:si>
  <x:si>
    <x:t xml:space="preserve">Proportion of population with access to electricity </x:t>
  </x:si>
  <x:si>
    <x:t xml:space="preserve">EG_ACS_ELEC</x:t>
  </x:si>
  <x:si>
    <x:t xml:space="preserve">Proportion of population with access to electricity</x:t>
  </x:si>
  <x:si>
    <x:t xml:space="preserve">7.1.2</x:t>
  </x:si>
  <x:si>
    <x:t xml:space="preserve">Proportion of population with primary reliance on clean fuels and technology</x:t>
  </x:si>
  <x:si>
    <x:t xml:space="preserve">_L_RW_070102_1</x:t>
  </x:si>
  <x:si>
    <x:t xml:space="preserve">Proportion (%) of Households with primary reliance on clean cooking fuels</x:t>
  </x:si>
  <x:si>
    <x:t xml:space="preserve">7.2.1</x:t>
  </x:si>
  <x:si>
    <x:t xml:space="preserve">Renewable energy share in the total final energy consumption </x:t>
  </x:si>
  <x:si>
    <x:t xml:space="preserve">_L_RW_070201_1</x:t>
  </x:si>
  <x:si>
    <x:t xml:space="preserve">Ministry of Infrastructure (MININFRA)</x:t>
  </x:si>
  <x:si>
    <x:t xml:space="preserve">Renewable energy share in the total final electricity generation</x:t>
  </x:si>
  <x:si>
    <x:t xml:space="preserve">7.3.1</x:t>
  </x:si>
  <x:si>
    <x:t xml:space="preserve">Energy intensity measured in terms of primary energy and GDP</x:t>
  </x:si>
  <x:si>
    <x:t xml:space="preserve">_L_RW_070301</x:t>
  </x:si>
  <x:si>
    <x:t xml:space="preserve">MJ_PER_GDP_CON_PPP_USD</x:t>
  </x:si>
  <x:si>
    <x:t xml:space="preserve">8.1.1</x:t>
  </x:si>
  <x:si>
    <x:t xml:space="preserve">Annual growth rate of real GDP per capita</x:t>
  </x:si>
  <x:si>
    <x:t xml:space="preserve">NY_GDP_PCAP</x:t>
  </x:si>
  <x:si>
    <x:t xml:space="preserve">National Accounts, NISR</x:t>
  </x:si>
  <x:si>
    <x:t xml:space="preserve">8.2.1</x:t>
  </x:si>
  <x:si>
    <x:t xml:space="preserve">Annual growth rate of real GDP per employed person</x:t>
  </x:si>
  <x:si>
    <x:t xml:space="preserve">SL_EMP_PCAP</x:t>
  </x:si>
  <x:si>
    <x:t xml:space="preserve">ILO - Modelled Estimates</x:t>
  </x:si>
  <x:si>
    <x:t xml:space="preserve">8.3.1</x:t>
  </x:si>
  <x:si>
    <x:t xml:space="preserve">Proportion of informal employment in non‑agriculture employment, by sex </x:t>
  </x:si>
  <x:si>
    <x:t xml:space="preserve">SL_ISV_IFRM</x:t>
  </x:si>
  <x:si>
    <x:t xml:space="preserve">Proportion of informal employment in non-agriculture employment</x:t>
  </x:si>
  <x:si>
    <x:t xml:space="preserve">8.5.1</x:t>
  </x:si>
  <x:si>
    <x:t xml:space="preserve">Average hourly earnings of female and male employees, by occupation, age and persons with disabilities </x:t>
  </x:si>
  <x:si>
    <x:t xml:space="preserve">SL_EMP_EARN</x:t>
  </x:si>
  <x:si>
    <x:t xml:space="preserve">Managers</x:t>
  </x:si>
  <x:si>
    <x:t xml:space="preserve">ISCO08_1</x:t>
  </x:si>
  <x:si>
    <x:t xml:space="preserve">Average hourly earnings</x:t>
  </x:si>
  <x:si>
    <x:t xml:space="preserve">8.5.2</x:t>
  </x:si>
  <x:si>
    <x:t xml:space="preserve">Unemployment rate, by sex, age and persons with disabilities (%)</x:t>
  </x:si>
  <x:si>
    <x:t xml:space="preserve">SL_TLF_UEM</x:t>
  </x:si>
  <x:si>
    <x:t xml:space="preserve">Unemployment rate</x:t>
  </x:si>
  <x:si>
    <x:t xml:space="preserve">8.6.1</x:t>
  </x:si>
  <x:si>
    <x:t xml:space="preserve">Proportion of youth (aged 15-24 years) not in education, employment or training </x:t>
  </x:si>
  <x:si>
    <x:t xml:space="preserve">_L_RW_080601_1</x:t>
  </x:si>
  <x:si>
    <x:t xml:space="preserve">Proportion of youth (aged 16-24 years) not in education, employment or training</x:t>
  </x:si>
  <x:si>
    <x:t xml:space="preserve">Y16T24</x:t>
  </x:si>
  <x:si>
    <x:t xml:space="preserve">16-24</x:t>
  </x:si>
  <x:si>
    <x:t xml:space="preserve">8.7.1</x:t>
  </x:si>
  <x:si>
    <x:t xml:space="preserve">Proportion and number of children aged 5‑17 years engaged in child labour, by sex and age - Child labor rate by sex</x:t>
  </x:si>
  <x:si>
    <x:t xml:space="preserve">SL_TLF_CHLDEA</x:t>
  </x:si>
  <x:si>
    <x:t xml:space="preserve">Proportion of children engaged in economic activity</x:t>
  </x:si>
  <x:si>
    <x:t xml:space="preserve">Y5T17</x:t>
  </x:si>
  <x:si>
    <x:t xml:space="preserve">5-17</x:t>
  </x:si>
  <x:si>
    <x:t xml:space="preserve">8.8.1</x:t>
  </x:si>
  <x:si>
    <x:t xml:space="preserve">Frequency rates of fatal and non-fatal occupational injuries, by sex and migrant status</x:t>
  </x:si>
  <x:si>
    <x:t xml:space="preserve">SL_EMP_FTLINJUR</x:t>
  </x:si>
  <x:si>
    <x:t xml:space="preserve">RSSB</x:t>
  </x:si>
  <x:si>
    <x:t xml:space="preserve">Fatal occupational injuries among employees (rate)</x:t>
  </x:si>
  <x:si>
    <x:t xml:space="preserve">8.8.2</x:t>
  </x:si>
  <x:si>
    <x:t xml:space="preserve">Level of national compliance with labour rights (freedom of association and collective bargaining) based on International Labour Organization (ILO) textual sources and national legislation, by sex and migrant status</x:t>
  </x:si>
  <x:si>
    <x:t xml:space="preserve">SL_LBR_NTLCPL</x:t>
  </x:si>
  <x:si>
    <x:t xml:space="preserve">SCORE</x:t>
  </x:si>
  <x:si>
    <x:t xml:space="preserve">ILO - Calculations based on information from ILO textual sources</x:t>
  </x:si>
  <x:si>
    <x:t xml:space="preserve">Level of national compliance of labour rights (freedom of association and collective bargaining) based on International Labour Organization (ILO) textual sources and national legislation</x:t>
  </x:si>
  <x:si>
    <x:t xml:space="preserve">8.9.1</x:t>
  </x:si>
  <x:si>
    <x:t xml:space="preserve">Tourism direct GDP as a proportion of total GDP and in growth rate</x:t>
  </x:si>
  <x:si>
    <x:t xml:space="preserve">ST_GDP_ZS</x:t>
  </x:si>
  <x:si>
    <x:t xml:space="preserve">RDB</x:t>
  </x:si>
  <x:si>
    <x:t xml:space="preserve">Tourism direct GDP as a proportion of total GDP</x:t>
  </x:si>
  <x:si>
    <x:t xml:space="preserve">8.10.1</x:t>
  </x:si>
  <x:si>
    <x:t xml:space="preserve">Number of (a) commercial bank branches per 100,000 adults and (b) number of automated teller machines (ATMs) per 100,000 adults </x:t>
  </x:si>
  <x:si>
    <x:t xml:space="preserve">FB_ATM_TOTL</x:t>
  </x:si>
  <x:si>
    <x:t xml:space="preserve">BNR, Annual Report</x:t>
  </x:si>
  <x:si>
    <x:t xml:space="preserve">Number of automated teller machines (ATMs) per 100,000 adults</x:t>
  </x:si>
  <x:si>
    <x:t xml:space="preserve">8.10.2</x:t>
  </x:si>
  <x:si>
    <x:t xml:space="preserve">Proportion of adults (15 years and older) with an account at a bank or other financial institution or with a mobile-money-service provider </x:t>
  </x:si>
  <x:si>
    <x:t xml:space="preserve">_L_RW_081002_1</x:t>
  </x:si>
  <x:si>
    <x:t xml:space="preserve">Percentage of households with at least one savings account</x:t>
  </x:si>
  <x:si>
    <x:t xml:space="preserve">9.1.1</x:t>
  </x:si>
  <x:si>
    <x:t xml:space="preserve">Proportion of the rural population who live within 2 km of an all-season road</x:t>
  </x:si>
  <x:si>
    <x:t xml:space="preserve">SP_ROD_R2KM</x:t>
  </x:si>
  <x:si>
    <x:t xml:space="preserve">Rural</x:t>
  </x:si>
  <x:si>
    <x:t xml:space="preserve">R</x:t>
  </x:si>
  <x:si>
    <x:t xml:space="preserve">Study on road and
public transport
accessibility in Rwanda
(MININFRA)</x:t>
  </x:si>
  <x:si>
    <x:t xml:space="preserve">9.1.2</x:t>
  </x:si>
  <x:si>
    <x:t xml:space="preserve">Passenger and freight volumes, by mode of transport</x:t>
  </x:si>
  <x:si>
    <x:t xml:space="preserve">IS_TRP_MAILTKM</x:t>
  </x:si>
  <x:si>
    <x:t xml:space="preserve">T</x:t>
  </x:si>
  <x:si>
    <x:t xml:space="preserve">MININFRA</x:t>
  </x:si>
  <x:si>
    <x:t xml:space="preserve">Mail volume (tonne kilometres)</x:t>
  </x:si>
  <x:si>
    <x:t xml:space="preserve">9.2.1</x:t>
  </x:si>
  <x:si>
    <x:r>
      <x:t xml:space="preserve">Manufacturing value added as a proportion of GDP and per capita</x:t>
    </x:r>
    <x:r>
      <x:rPr>
        <x:b/>
        <x:sz val="10"/>
        <x:color rgb="FF0070C0"/>
        <x:rFont val="Times New Roman"/>
        <x:family val="1"/>
      </x:rPr>
      <x:t xml:space="preserve"> </x:t>
    </x:r>
    <x:r>
      <x:rPr>
        <x:sz val="10"/>
        <x:color rgb="FF0070C0"/>
        <x:rFont val="Times New Roman"/>
        <x:family val="1"/>
      </x:rPr>
      <x:t xml:space="preserve"> </x:t>
    </x:r>
  </x:si>
  <x:si>
    <x:t xml:space="preserve">NV_IND_MANF</x:t>
  </x:si>
  <x:si>
    <x:t xml:space="preserve">Manufacturing value added as a proportion of GDP (%)</x:t>
  </x:si>
  <x:si>
    <x:t xml:space="preserve">9.2.2</x:t>
  </x:si>
  <x:si>
    <x:t xml:space="preserve">Manufacturing employment as a proportion of total employment</x:t>
  </x:si>
  <x:si>
    <x:t xml:space="preserve">SL_TLF_MANF</x:t>
  </x:si>
  <x:si>
    <x:t xml:space="preserve">9.4.1</x:t>
  </x:si>
  <x:si>
    <x:t xml:space="preserve">CO2 emission per unit of value added</x:t>
  </x:si>
  <x:si>
    <x:t xml:space="preserve">EN_ATM_CO2GDP</x:t>
  </x:si>
  <x:si>
    <x:t xml:space="preserve">KG_PER_CON_USD</x:t>
  </x:si>
  <x:si>
    <x:t xml:space="preserve">UNSD, Global SDG database</x:t>
  </x:si>
  <x:si>
    <x:t xml:space="preserve">Carbon dioxide emissions per unit of GDP PPP (kilogrammes of CO2 per constant 2017 United States dollars)</x:t>
  </x:si>
  <x:si>
    <x:t xml:space="preserve">9.5.1</x:t>
  </x:si>
  <x:si>
    <x:t xml:space="preserve">Research and development expenditure as a proportion of GDP</x:t>
  </x:si>
  <x:si>
    <x:t xml:space="preserve">GB_XPD_RSDV</x:t>
  </x:si>
  <x:si>
    <x:t xml:space="preserve">National Council for Science and Technology</x:t>
  </x:si>
  <x:si>
    <x:t xml:space="preserve">Research and development expenditure as a proportion of GDP (%)</x:t>
  </x:si>
  <x:si>
    <x:t xml:space="preserve">9.5.2</x:t>
  </x:si>
  <x:si>
    <x:t xml:space="preserve">Researchers (in full-time equivalent) per million inhabitants (per 1,000,000 population)</x:t>
  </x:si>
  <x:si>
    <x:t xml:space="preserve">GB_POP_SCIERD</x:t>
  </x:si>
  <x:si>
    <x:t xml:space="preserve">PER_1000000_POP</x:t>
  </x:si>
  <x:si>
    <x:t xml:space="preserve">9.c.1</x:t>
  </x:si>
  <x:si>
    <x:t xml:space="preserve">Proportion of population covered by a mobile network, by technology </x:t>
  </x:si>
  <x:si>
    <x:t xml:space="preserve">IT_MOB_2GNTWK</x:t>
  </x:si>
  <x:si>
    <x:t xml:space="preserve">Statistics report for
telecom, media and
postal services, RURA</x:t>
  </x:si>
  <x:si>
    <x:t xml:space="preserve">Proportion of population covered by at least a 2G mobile network</x:t>
  </x:si>
  <x:si>
    <x:t xml:space="preserve">10.3.1</x:t>
  </x:si>
  <x:si>
    <x:t xml:space="preserve">Proportion of population reporting having personally felt discriminated against or harassed in the previous 12 months on the basis of a ground of discrimination prohibited under international human rights law</x:t>
  </x:si>
  <x:si>
    <x:t xml:space="preserve">VC_VOV_GDSD</x:t>
  </x:si>
  <x:si>
    <x:t xml:space="preserve">Reason for stopping last employment/ Physical and social harassment</x:t>
  </x:si>
  <x:si>
    <x:t xml:space="preserve">10.4.1</x:t>
  </x:si>
  <x:si>
    <x:t xml:space="preserve">Labour share of GDP</x:t>
  </x:si>
  <x:si>
    <x:t xml:space="preserve">SL_EMP_GTOTL</x:t>
  </x:si>
  <x:si>
    <x:t xml:space="preserve">Labour share of GDP (%)</x:t>
  </x:si>
  <x:si>
    <x:t xml:space="preserve">10.5.1</x:t>
  </x:si>
  <x:si>
    <x:t xml:space="preserve">Financial Soundness Indicators</x:t>
  </x:si>
  <x:si>
    <x:t xml:space="preserve">FI_FSI_FSKA</x:t>
  </x:si>
  <x:si>
    <x:t xml:space="preserve">BNR, Annual Financial Stability Report </x:t>
  </x:si>
  <x:si>
    <x:t xml:space="preserve">Regulatory capital to assets (%) - CAR</x:t>
  </x:si>
  <x:si>
    <x:t xml:space="preserve">10.c.1</x:t>
  </x:si>
  <x:si>
    <x:t xml:space="preserve">Remittance costs as a proportion of the amount remitted</x:t>
  </x:si>
  <x:si>
    <x:t xml:space="preserve">SI_RMT_COST</x:t>
  </x:si>
  <x:si>
    <x:t xml:space="preserve">BNR</x:t>
  </x:si>
  <x:si>
    <x:t xml:space="preserve">11.1.1</x:t>
  </x:si>
  <x:si>
    <x:t xml:space="preserve">Proportion of urban population living in slums, informal settlements or inadequate housing </x:t>
  </x:si>
  <x:si>
    <x:t xml:space="preserve">_L_RW_110101_1</x:t>
  </x:si>
  <x:si>
    <x:t xml:space="preserve">Urban</x:t>
  </x:si>
  <x:si>
    <x:t xml:space="preserve">U</x:t>
  </x:si>
  <x:si>
    <x:t xml:space="preserve">EICV and RPHC5 2022, NISR</x:t>
  </x:si>
  <x:si>
    <x:t xml:space="preserve">Distribution of Households living in unplanned urban housing</x:t>
  </x:si>
  <x:si>
    <x:t xml:space="preserve">11.5.1</x:t>
  </x:si>
  <x:si>
    <x:t xml:space="preserve">VC_DSR_MTMP</x:t>
  </x:si>
  <x:si>
    <x:t xml:space="preserve">Disaster Communication System/MINEMA Assessment</x:t>
  </x:si>
  <x:si>
    <x:t xml:space="preserve">11.5.2</x:t>
  </x:si>
  <x:si>
    <x:t xml:space="preserve">_L_RW_110502_1</x:t>
  </x:si>
  <x:si>
    <x:t xml:space="preserve">11.b.2</x:t>
  </x:si>
  <x:si>
    <x:t xml:space="preserve">SG_DSR_SILN</x:t>
  </x:si>
  <x:si>
    <x:t xml:space="preserve">13.1.1</x:t>
  </x:si>
  <x:si>
    <x:t xml:space="preserve">VC_DSR_MORT_1</x:t>
  </x:si>
  <x:si>
    <x:t xml:space="preserve">13.1.3</x:t>
  </x:si>
  <x:si>
    <x:t xml:space="preserve">_L_RW_130103_1</x:t>
  </x:si>
  <x:si>
    <x:t xml:space="preserve">15.1.1</x:t>
  </x:si>
  <x:si>
    <x:t xml:space="preserve">Forest area as a proportion of total land area (%)</x:t>
  </x:si>
  <x:si>
    <x:t xml:space="preserve">AG_LND_FRST</x:t>
  </x:si>
  <x:si>
    <x:t xml:space="preserve">MoE</x:t>
  </x:si>
  <x:si>
    <x:t xml:space="preserve">Forest area as a proportion of total land area</x:t>
  </x:si>
  <x:si>
    <x:t xml:space="preserve">15.1.2</x:t>
  </x:si>
  <x:si>
    <x:t xml:space="preserve">Proportion of important sites for terrestrial and freshwater biodiversity that are covered by protected areas, by ecosystem type - Percentage of terrestrial and freshwater biodivesities that are covered by protected areas</x:t>
  </x:si>
  <x:si>
    <x:t xml:space="preserve">_L_RW_150102_1</x:t>
  </x:si>
  <x:si>
    <x:t xml:space="preserve">In land water assessment report</x:t>
  </x:si>
  <x:si>
    <x:t xml:space="preserve">Percentage of terrestrial and freshwater biodivesities that are covered by protected areas</x:t>
  </x:si>
  <x:si>
    <x:t xml:space="preserve">15.2.1</x:t>
  </x:si>
  <x:si>
    <x:t xml:space="preserve">Progress towards sustainable forest management: Proxy: Forests allocated private operators for management</x:t>
  </x:si>
  <x:si>
    <x:t xml:space="preserve">AG_LND_FRSTBIOM</x:t>
  </x:si>
  <x:si>
    <x:r>
      <x:rPr>
        <x:sz val="9"/>
        <x:color rgb="FF444040"/>
        <x:rFont val="Tahoma"/>
        <x:family val="2"/>
      </x:rPr>
      <x:t xml:space="preserve">JSR,
</x:t>
    </x:r>
    <x:r>
      <x:rPr>
        <x:sz val="9"/>
        <x:color rgb="FF444040"/>
        <x:rFont val="Tahoma"/>
        <x:family val="2"/>
      </x:rPr>
      <x:t xml:space="preserve">Environment, 2021/2022</x:t>
    </x:r>
  </x:si>
  <x:si>
    <x:t xml:space="preserve">Forests allocated private operators for management</x:t>
  </x:si>
  <x:si>
    <x:t xml:space="preserve">15.4.1</x:t>
  </x:si>
  <x:si>
    <x:t xml:space="preserve">Coverage by protected areas of important sites for mountain biodiversity</x:t>
  </x:si>
  <x:si>
    <x:t xml:space="preserve">ER_PTD_MTN</x:t>
  </x:si>
  <x:si>
    <x:t xml:space="preserve">RWFA</x:t>
  </x:si>
  <x:si>
    <x:t xml:space="preserve">Average proportion of Mountain Key Biodiversity Areas (KBAs) covered by protected areas</x:t>
  </x:si>
  <x:si>
    <x:t xml:space="preserve">15.7.1</x:t>
  </x:si>
  <x:si>
    <x:t xml:space="preserve">Proportion of traded wildlife that was poached or illicitly trafficked</x:t>
  </x:si>
  <x:si>
    <x:t xml:space="preserve">ER_WLD_TRPOACH</x:t>
  </x:si>
  <x:si>
    <x:t xml:space="preserve">Current data are collected on only 5 big wild animals in
Akagera National Parks, namely: Elephants (120),
Lions (40), Buf-falos
(4,000), Rhinoceros
(27), and Leopards (100). For this category the reported proportion of poached or illicitly traf-ficked is 0%, (GPS Tracking devises help
in their monitoring) their total counts is 4,287. Also, Gorillas are monitored and approximatlely 604 as
of 2021.</x:t>
  </x:si>
  <x:si>
    <x:t xml:space="preserve">16.1.1</x:t>
  </x:si>
  <x:si>
    <x:t xml:space="preserve">Number of victims of intentional homicide per 100,000 population, by sex and age</x:t>
  </x:si>
  <x:si>
    <x:t xml:space="preserve">VC_IHR_PSRC</x:t>
  </x:si>
  <x:si>
    <x:t xml:space="preserve">Rwanda Governance Score Card, RGB</x:t>
  </x:si>
  <x:si>
    <x:t xml:space="preserve">Number of victims of intentional homicide per 100,000 population</x:t>
  </x:si>
  <x:si>
    <x:t xml:space="preserve">16.1.3</x:t>
  </x:si>
  <x:si>
    <x:t xml:space="preserve">Proportion of population subjected to physical, psychological or sexual violence in the previous 12 months </x:t>
  </x:si>
  <x:si>
    <x:t xml:space="preserve">_L_RW_160103_1</x:t>
  </x:si>
  <x:si>
    <x:t xml:space="preserve">Percent of women and  men, age 15-49 have experienced physical violence within the 12 months preceding the survey</x:t>
  </x:si>
  <x:si>
    <x:t xml:space="preserve">M</x:t>
  </x:si>
  <x:si>
    <x:t xml:space="preserve">Male</x:t>
  </x:si>
  <x:si>
    <x:t xml:space="preserve">16.1.4</x:t>
  </x:si>
  <x:si>
    <x:t xml:space="preserve">Proportion of population that feel safe walking alone around the area they live </x:t>
  </x:si>
  <x:si>
    <x:t xml:space="preserve">VC_SNS_WALN</x:t>
  </x:si>
  <x:si>
    <x:t xml:space="preserve">Proportion of population that feel safe walking alone around the area they live in</x:t>
  </x:si>
  <x:si>
    <x:t xml:space="preserve">16.2.1</x:t>
  </x:si>
  <x:si>
    <x:t xml:space="preserve">Proportion of children aged 1–17 years who experienced any physical punishment and/or psychological aggression by caregivers in the past month</x:t>
  </x:si>
  <x:si>
    <x:t xml:space="preserve">VC_VAW_PHYPYV</x:t>
  </x:si>
  <x:si>
    <x:t xml:space="preserve">Proportion of children aged 1-17 years who experienced any physical punishment and/or psychological aggression by caregivers in the past month</x:t>
  </x:si>
  <x:si>
    <x:t xml:space="preserve">16.2.2</x:t>
  </x:si>
  <x:si>
    <x:t xml:space="preserve">Number of victims of human trafficking per 100,000 population, by sex, age and form of exploitation </x:t>
  </x:si>
  <x:si>
    <x:t xml:space="preserve">VC_VAW_DIST</x:t>
  </x:si>
  <x:si>
    <x:t xml:space="preserve">MINIJUST</x:t>
  </x:si>
  <x:si>
    <x:t xml:space="preserve">Age and sex distribution of detected victims of trafficking in persons (%)</x:t>
  </x:si>
  <x:si>
    <x:t xml:space="preserve">16.2.3</x:t>
  </x:si>
  <x:si>
    <x:t xml:space="preserve">Proportion of young women and men aged 18–29 years who experienced sexual violence by age 18</x:t>
  </x:si>
  <x:si>
    <x:t xml:space="preserve">VC_VAW_SXVLN</x:t>
  </x:si>
  <x:si>
    <x:t xml:space="preserve">16.3.1</x:t>
  </x:si>
  <x:si>
    <x:t xml:space="preserve">Proportion of victims of violence in the previous 12 months who reported their victimization to competent authorities or other officially recognized conflict resolution mechanisms</x:t>
  </x:si>
  <x:si>
    <x:t xml:space="preserve">VC_PRR_PHYV</x:t>
  </x:si>
  <x:si>
    <x:t xml:space="preserve">16.3.2</x:t>
  </x:si>
  <x:si>
    <x:t xml:space="preserve">Unsentenced detainees as a proportion of overall prison population </x:t>
  </x:si>
  <x:si>
    <x:t xml:space="preserve">VC_PRS_UNSNT</x:t>
  </x:si>
  <x:si>
    <x:t xml:space="preserve">MINIJUST, JRLOS</x:t>
  </x:si>
  <x:si>
    <x:t xml:space="preserve">Unsentenced detainees as a proportion of overall prison population</x:t>
  </x:si>
  <x:si>
    <x:t xml:space="preserve">16.5.1</x:t>
  </x:si>
  <x:si>
    <x:r>
      <x:t xml:space="preserve">Proportion of persons who had at least one contact with a public official and who paid a bribe to a public official, or were asked for a bribe by those public officials, during the previous 12 months</x:t>
    </x:r>
    <x:r>
      <x:rPr>
        <x:sz val="10"/>
        <x:color rgb="FFFF0000"/>
        <x:rFont val="Calibri"/>
        <x:family val="2"/>
        <x:scheme val="minor"/>
      </x:rPr>
      <x:t xml:space="preserve"/>
    </x:r>
  </x:si>
  <x:si>
    <x:t xml:space="preserve">_L_RW_160501_1</x:t>
  </x:si>
  <x:si>
    <x:t xml:space="preserve">Percentage  of citizens who have encountered corruption while interacting with service providers</x:t>
  </x:si>
  <x:si>
    <x:t xml:space="preserve">16.5.2</x:t>
  </x:si>
  <x:si>
    <x:t xml:space="preserve">Proportion of businesses that had at least one contact with a public official and that paid a bribe to a public official, or were asked for a bribe by those public officials during the previous 12 months</x:t>
  </x:si>
  <x:si>
    <x:t xml:space="preserve">IC_FRM_BRIB</x:t>
  </x:si>
  <x:si>
    <x:t xml:space="preserve">Bribery incidence (% of firms experiencing at least one bribe payment request)</x:t>
  </x:si>
  <x:si>
    <x:t xml:space="preserve">16.6.1</x:t>
  </x:si>
  <x:si>
    <x:t xml:space="preserve"> Primary government expenditures as a proportion of original approved budget, by sector (or by budget codes or similar)</x:t>
  </x:si>
  <x:si>
    <x:t xml:space="preserve">GF_XPD_GBPC</x:t>
  </x:si>
  <x:si>
    <x:t xml:space="preserve">MINECOFIN, Budget Finance Law</x:t>
  </x:si>
  <x:si>
    <x:t xml:space="preserve">Primary government expenditures as a proportion of original approved budget</x:t>
  </x:si>
  <x:si>
    <x:t xml:space="preserve">16.6.2</x:t>
  </x:si>
  <x:si>
    <x:t xml:space="preserve">Proportion of population satisfied with their last experience of public services -  Citizens' satisfaction with service delivery</x:t>
  </x:si>
  <x:si>
    <x:t xml:space="preserve">_L_RW_160602_1</x:t>
  </x:si>
  <x:si>
    <x:t xml:space="preserve">Citizens' satisfaction with service delivery</x:t>
  </x:si>
  <x:si>
    <x:t xml:space="preserve">16.7.2</x:t>
  </x:si>
  <x:si>
    <x:t xml:space="preserve">Proportion of population who believe decision-making is inclusive and responsive, by sex, age, disability and population group - Percentage of citizen satisfaction in their participation in decision making</x:t>
  </x:si>
  <x:si>
    <x:t xml:space="preserve">_L_RW_160702_1</x:t>
  </x:si>
  <x:si>
    <x:t xml:space="preserve">Percentage of citizen satisfaction in their participation in decision making</x:t>
  </x:si>
  <x:si>
    <x:t xml:space="preserve">16.9.1</x:t>
  </x:si>
  <x:si>
    <x:t xml:space="preserve">Proportion of children under 5 years of age whose births have been registered with a civil authority, by age (%)</x:t>
  </x:si>
  <x:si>
    <x:t xml:space="preserve">SG_REG_BRTH</x:t>
  </x:si>
  <x:si>
    <x:t xml:space="preserve">RDHS, 2014/15 and 2019/20, Census 2022</x:t>
  </x:si>
  <x:si>
    <x:t xml:space="preserve">Proportion of children under 5 years of age whose births have been registered with a civil authority</x:t>
  </x:si>
  <x:si>
    <x:t xml:space="preserve">16.b.1</x:t>
  </x:si>
  <x:si>
    <x:t xml:space="preserve">_L_RW_160b01_1</x:t>
  </x:si>
  <x:si>
    <x:t xml:space="preserve">17.1.1</x:t>
  </x:si>
  <x:si>
    <x:t xml:space="preserve">Total government revenue as a proportion of GDP, by source</x:t>
  </x:si>
  <x:si>
    <x:t xml:space="preserve">GR_G14_GDP</x:t>
  </x:si>
  <x:si>
    <x:t xml:space="preserve">MINECOFIN</x:t>
  </x:si>
  <x:si>
    <x:t xml:space="preserve">Total government revenue as a proportion of GDP</x:t>
  </x:si>
  <x:si>
    <x:t xml:space="preserve">17.1.2</x:t>
  </x:si>
  <x:si>
    <x:t xml:space="preserve">Proportion of domestic budget funded by domestic taxes</x:t>
  </x:si>
  <x:si>
    <x:t xml:space="preserve">GC_GOB_TAXD</x:t>
  </x:si>
  <x:si>
    <x:t xml:space="preserve">17.3.1</x:t>
  </x:si>
  <x:si>
    <x:t xml:space="preserve">Foreign direct investments (FDI), official development assistance and South-South Cooperation as a proportion of total domestic budget (%)</x:t>
  </x:si>
  <x:si>
    <x:t xml:space="preserve">GF_FRN_FDIODASS</x:t>
  </x:si>
  <x:si>
    <x:t xml:space="preserve">Foreign direct investment (FDI), official development assistance and South-South cooperation as a proportion of total domestic budget</x:t>
  </x:si>
  <x:si>
    <x:t xml:space="preserve">17.3.2</x:t>
  </x:si>
  <x:si>
    <x:t xml:space="preserve">Volume of remittances (in United States dollars) as a proportion of total GDP</x:t>
  </x:si>
  <x:si>
    <x:t xml:space="preserve">BX_TRF_PWKR</x:t>
  </x:si>
  <x:si>
    <x:t xml:space="preserve">17.4.1</x:t>
  </x:si>
  <x:si>
    <x:t xml:space="preserve">Debt service as a proportion of exports of goods and services </x:t>
  </x:si>
  <x:si>
    <x:t xml:space="preserve">_L_RW_170401_1</x:t>
  </x:si>
  <x:si>
    <x:t xml:space="preserve">External Debt in nominal terms</x:t>
  </x:si>
  <x:si>
    <x:t xml:space="preserve">17.6.1</x:t>
  </x:si>
  <x:si>
    <x:t xml:space="preserve">Fixed Internet broadband subscriptions per 100 inhabitants, by speed</x:t>
  </x:si>
  <x:si>
    <x:t xml:space="preserve">IT_NET_BBND</x:t>
  </x:si>
  <x:si>
    <x:t xml:space="preserve">PER_100_POP</x:t>
  </x:si>
  <x:si>
    <x:t xml:space="preserve">RURA</x:t>
  </x:si>
  <x:si>
    <x:t xml:space="preserve"> Broadband
(≥256kbps)</x:t>
  </x:si>
  <x:si>
    <x:t xml:space="preserve">17.8.1</x:t>
  </x:si>
  <x:si>
    <x:t xml:space="preserve"> Proportion of individuals using the Internet </x:t>
  </x:si>
  <x:si>
    <x:t xml:space="preserve">IT_USE_II99</x:t>
  </x:si>
  <x:si>
    <x:t xml:space="preserve">DHS , RPHC5, NISR</x:t>
  </x:si>
  <x:si>
    <x:t xml:space="preserve">17.11.1</x:t>
  </x:si>
  <x:si>
    <x:t xml:space="preserve">Developing countries and least developed countries share of global exports </x:t>
  </x:si>
  <x:si>
    <x:t xml:space="preserve">_L_RW_171101_1</x:t>
  </x:si>
  <x:si>
    <x:t xml:space="preserve">Exports goods and services in Million USD</x:t>
  </x:si>
  <x:si>
    <x:t xml:space="preserve">17.13.1</x:t>
  </x:si>
  <x:si>
    <x:t xml:space="preserve">Macroeconomic Dashboard</x:t>
  </x:si>
  <x:si>
    <x:t xml:space="preserve">MD_NY_GDP_PCAP</x:t>
  </x:si>
  <x:si>
    <x:t xml:space="preserve">17.18.1</x:t>
  </x:si>
  <x:si>
    <x:t xml:space="preserve">Statistical capacity indicator for Sustainable Development Goal monitoring</x:t>
  </x:si>
  <x:si>
    <x:t xml:space="preserve">SD_SDG_AVLB</x:t>
  </x:si>
  <x:si>
    <x:t xml:space="preserve">NISR, SDG Platfoarm</x:t>
  </x:si>
  <x:si>
    <x:t xml:space="preserve">Proportion of sustainable development indicators produced at the national level with full disaggregation when relevant to the target, in accordance with the Fundamental Principles of Official Statistics</x:t>
  </x:si>
  <x:si>
    <x:t xml:space="preserve">17.19.1</x:t>
  </x:si>
  <x:si>
    <x:t xml:space="preserve">Dollar value of all resources made available to strengthen statistical capacity in developing countries</x:t>
  </x:si>
  <x:si>
    <x:t xml:space="preserve">SG_STT_CAPTY</x:t>
  </x:si>
  <x:si>
    <x:t xml:space="preserve"> PARIS21</x:t>
  </x:si>
  <x:si>
    <x:t xml:space="preserve">Dollar value of all resources made available to strengthen statistical capacity in developing countries (current United States dollars)</x:t>
  </x:si>
  <x:si>
    <x:t xml:space="preserve">Element</x:t>
  </x:si>
  <x:si>
    <x:t xml:space="preserve">Type</x:t>
  </x:si>
  <x:si>
    <x:t xml:space="preserve">PosType</x:t>
  </x:si>
  <x:si>
    <x:t xml:space="preserve">Position</x:t>
  </x:si>
  <x:si>
    <x:t xml:space="preserve">DataStart</x:t>
  </x:si>
  <x:si>
    <x:t xml:space="preserve">V2</x:t>
  </x:si>
  <x:si>
    <x:t xml:space="preserve">FREQ</x:t>
  </x:si>
  <x:si>
    <x:t xml:space="preserve">DIM</x:t>
  </x:si>
  <x:si>
    <x:t xml:space="preserve">FIX</x:t>
  </x:si>
  <x:si>
    <x:t xml:space="preserve">A</x:t>
  </x:si>
  <x:si>
    <x:t xml:space="preserve">NumColumns</x:t>
  </x:si>
  <x:si>
    <x:t xml:space="preserve">REPORTING_TYPE</x:t>
  </x:si>
  <x:si>
    <x:t xml:space="preserve">N</x:t>
  </x:si>
  <x:si>
    <x:t xml:space="preserve">SERIES</x:t>
  </x:si>
  <x:si>
    <x:t xml:space="preserve">COLUMN</x:t>
  </x:si>
  <x:si>
    <x:t xml:space="preserve">C</x:t>
  </x:si>
  <x:si>
    <x:t xml:space="preserve">REF_AREA</x:t>
  </x:si>
  <x:si>
    <x:t xml:space="preserve">H</x:t>
  </x:si>
  <x:si>
    <x:t xml:space="preserve">TIME_PERIOD</x:t>
  </x:si>
  <x:si>
    <x:t xml:space="preserve">ROW</x:t>
  </x:si>
  <x:si>
    <x:t xml:space="preserve">SEX</x:t>
  </x:si>
  <x:si>
    <x:t xml:space="preserve">AGE</x:t>
  </x:si>
  <x:si>
    <x:t xml:space="preserve">URBANISATION</x:t>
  </x:si>
  <x:si>
    <x:t xml:space="preserve">L</x:t>
  </x:si>
  <x:si>
    <x:t xml:space="preserve">INCOME_WEALTH_QUANTILE</x:t>
  </x:si>
  <x:si>
    <x:t xml:space="preserve">EDUCATION_LEV</x:t>
  </x:si>
  <x:si>
    <x:t xml:space="preserve">OCCUPATION</x:t>
  </x:si>
  <x:si>
    <x:t xml:space="preserve">G</x:t>
  </x:si>
  <x:si>
    <x:t xml:space="preserve">CUST_BREAKDOWN</x:t>
  </x:si>
  <x:si>
    <x:t xml:space="preserve">COMPOSITE_BREAKDOWN</x:t>
  </x:si>
  <x:si>
    <x:t xml:space="preserve">D</x:t>
  </x:si>
  <x:si>
    <x:t xml:space="preserve">DISABILITY_STATUS</x:t>
  </x:si>
  <x:si>
    <x:t xml:space="preserve">PRODUCT</x:t>
  </x:si>
  <x:si>
    <x:t xml:space="preserve">ACTIVITY</x:t>
  </x:si>
  <x:si>
    <x:t xml:space="preserve">NATURE</x:t>
  </x:si>
  <x:si>
    <x:t xml:space="preserve">ATT</x:t>
  </x:si>
  <x:si>
    <x:t xml:space="preserve">_X</x:t>
  </x:si>
  <x:si>
    <x:t xml:space="preserve">SOURCE_DETAIL</x:t>
  </x:si>
  <x:si>
    <x:t xml:space="preserve">O</x:t>
  </x:si>
  <x:si>
    <x:t xml:space="preserve">COMMENT_OBS</x:t>
  </x:si>
  <x:si>
    <x:t xml:space="preserve">P</x:t>
  </x:si>
  <x:si>
    <x:t xml:space="preserve">UNIT_MEASURE</x:t>
  </x:si>
  <x:si>
    <x:t xml:space="preserve">E</x:t>
  </x:si>
  <x:si>
    <x:t xml:space="preserve">UNIT_MULT</x:t>
  </x:si>
  <x:si>
    <x:t xml:space="preserve">OBS_STATUS</x:t>
  </x:si>
  <x:si>
    <x:t xml:space="preserve">TIME_DETAIL</x:t>
  </x:si>
  <x:si>
    <x:t xml:space="preserve">Mapping_ID</x:t>
  </x:si>
  <x:si>
    <x:t xml:space="preserve">Dashboard_Description</x:t>
  </x:si>
  <x:si>
    <x:t xml:space="preserve">Data_Source</x:t>
  </x:si>
  <x:si>
    <x:t xml:space="preserve">Latest_Year</x:t>
  </x:si>
  <x:si>
    <x:t xml:space="preserve">Latest_Value</x:t>
  </x:si>
  <x:si>
    <x:t xml:space="preserve">Report_Family</x:t>
  </x:si>
  <x:si>
    <x:t xml:space="preserve">Report_Name</x:t>
  </x:si>
  <x:si>
    <x:t xml:space="preserve">Report_Year</x:t>
  </x:si>
  <x:si>
    <x:t xml:space="preserve">File_Type</x:t>
  </x:si>
  <x:si>
    <x:t xml:space="preserve">File_Name_or_Link</x:t>
  </x:si>
  <x:si>
    <x:t xml:space="preserve">Sheet_or_Page</x:t>
  </x:si>
  <x:si>
    <x:t xml:space="preserve">Table_No</x:t>
  </x:si>
  <x:si>
    <x:t xml:space="preserve">Table_Title</x:t>
  </x:si>
  <x:si>
    <x:t xml:space="preserve">Report_Indicator_Name</x:t>
  </x:si>
  <x:si>
    <x:t xml:space="preserve">Row_Label</x:t>
  </x:si>
  <x:si>
    <x:t xml:space="preserve">Column_Label</x:t>
  </x:si>
  <x:si>
    <x:t xml:space="preserve">Geography</x:t>
  </x:si>
  <x:si>
    <x:t xml:space="preserve">Disaggregation</x:t>
  </x:si>
  <x:si>
    <x:t xml:space="preserve">Extraction_Method</x:t>
  </x:si>
  <x:si>
    <x:t xml:space="preserve">Confidence</x:t>
  </x:si>
  <x:si>
    <x:t xml:space="preserve">Status</x:t>
  </x:si>
  <x:si>
    <x:t xml:space="preserve">Reviewer</x:t>
  </x:si>
  <x:si>
    <x:t xml:space="preserve">Notes</x:t>
  </x:si>
  <x:si>
    <x:t xml:space="preserve">Report_ID</x:t>
  </x:si>
  <x:si>
    <x:t xml:space="preserve">Publication_Date</x:t>
  </x:si>
  <x:si>
    <x:t xml:space="preserve">Frequency</x:t>
  </x:si>
  <x:si>
    <x:t xml:space="preserve">Owner</x:t>
  </x:si>
  <x:si>
    <x:t xml:space="preserve">Update_ID</x:t>
  </x:si>
  <x:si>
    <x:t xml:space="preserve">Year</x:t>
  </x:si>
  <x:si>
    <x:t xml:space="preserve">Old_Value</x:t>
  </x:si>
  <x:si>
    <x:t xml:space="preserve">New_Value</x:t>
  </x:si>
  <x:si>
    <x:t xml:space="preserve">Difference</x:t>
  </x:si>
  <x:si>
    <x:t xml:space="preserve">Source_Report</x:t>
  </x:si>
  <x:si>
    <x:t xml:space="preserve">Table_or_Sheet</x:t>
  </x:si>
  <x:si>
    <x:t xml:space="preserve">Evidence_Page</x:t>
  </x:si>
  <x:si>
    <x:t xml:space="preserve">Extraction_Date</x:t>
  </x:si>
  <x:si>
    <x:t xml:space="preserve">Reviewer_Comment</x:t>
  </x:si>
  <x:si>
    <x:t xml:space="preserve">UPD-001</x:t>
  </x:si>
  <x:si>
    <x:t xml:space="preserve">Pending Review</x:t>
  </x:si>
  <x:si>
    <x:t xml:space="preserve">Status_List</x:t>
  </x:si>
  <x:si>
    <x:t xml:space="preserve">File_Type_List</x:t>
  </x:si>
  <x:si>
    <x:t xml:space="preserve">Method_List</x:t>
  </x:si>
  <x:si>
    <x:t xml:space="preserve">Confidence_List</x:t>
  </x:si>
  <x:si>
    <x:t xml:space="preserve">To Map</x:t>
  </x:si>
  <x:si>
    <x:t xml:space="preserve">PDF</x:t>
  </x:si>
  <x:si>
    <x:t xml:space="preserve">Excel direct cell</x:t>
  </x:si>
  <x:si>
    <x:t xml:space="preserve">High</x:t>
  </x:si>
  <x:si>
    <x:t xml:space="preserve">Ready</x:t>
  </x:si>
  <x:si>
    <x:t xml:space="preserve">Excel</x:t>
  </x:si>
  <x:si>
    <x:t xml:space="preserve">PDF table extraction</x:t>
  </x:si>
  <x:si>
    <x:t xml:space="preserve">Medium</x:t>
  </x:si>
  <x:si>
    <x:t xml:space="preserve">Needs Review</x:t>
  </x:si>
  <x:si>
    <x:t xml:space="preserve">PDF+Excel</x:t>
  </x:si>
  <x:si>
    <x:t xml:space="preserve">Manual entry</x:t>
  </x:si>
  <x:si>
    <x:t xml:space="preserve">Low</x:t>
  </x:si>
  <x:si>
    <x:t xml:space="preserve">Approved</x:t>
  </x:si>
  <x:si>
    <x:t xml:space="preserve">AI-assisted match</x:t>
  </x:si>
  <x:si>
    <x:t xml:space="preserve">Rejected</x:t>
  </x:si>
  <x:si>
    <x:t xml:space="preserve">Not Started</x:t>
  </x:si>
  <x:si>
    <x:t xml:space="preserve">In Progress</x:t>
  </x:si>
  <x:si>
    <x:t xml:space="preserve">Item</x:t>
  </x:si>
  <x:si>
    <x:t xml:space="preserve">Value</x:t>
  </x:si>
  <x:si>
    <x:t xml:space="preserve">Purpose</x:t>
  </x:si>
  <x:si>
    <x:t xml:space="preserve">Starter workbook to automate NISR-sourced SDG dashboard updates from PDF and Excel reports.</x:t>
  </x:si>
  <x:si>
    <x:t xml:space="preserve">NISR-sourced indicators included</x:t>
  </x:si>
  <x:si>
    <x:t xml:space="preserve">Report families detected</x:t>
  </x:si>
  <x:si>
    <x:t xml:space="preserve">Recommended first step</x:t>
  </x:si>
  <x:si>
    <x:t xml:space="preserve">Automation logic</x:t>
  </x:si>
  <x:si>
    <x:t xml:space="preserve">The extraction script should use Mapping_ID/Series_Code + report/table/row rules, not indicator name only.</x:t>
  </x:si>
  <x:si>
    <x:t xml:space="preserve">Approval rule</x:t>
  </x:si>
  <x:si>
    <x:t xml:space="preserve">Extracted values go to Proposed_Updates first. Dashboard data should update only after review/approval.</x:t>
  </x:si>
  <x:si>
    <x:t xml:space="preserve">Live dashboard checks</x:t>
  </x:si>
  <x:si>
    <x:t xml:space="preserve">Formula</x:t>
  </x:si>
  <x:si>
    <x:t xml:space="preserve">Mapped/Ready count</x:t>
  </x:si>
  <x:si>
    <x:t xml:space="preserve">Needs review count</x:t>
  </x:si>
  <x:si>
    <x:t xml:space="preserve">Still to map</x:t>
  </x:si>
  <x:si>
    <x:t xml:space="preserve">Approved proposed updates</x:t>
  </x:si>
</x:sst>
</file>

<file path=xl/styles.xml><?xml version="1.0" encoding="utf-8"?>
<x:styleSheet xmlns:x="http://schemas.openxmlformats.org/spreadsheetml/2006/main">
  <x:numFmts count="3">
    <x:numFmt numFmtId="164" formatCode="_-* #,##0.00_-;\-* #,##0.00_-;_-* &quot;-&quot;??_-;_-@_-"/>
    <x:numFmt numFmtId="165" formatCode="_-* #,##0.00\ _€_-;\-* #,##0.00\ _€_-;_-* &quot;-&quot;??\ _€_-;_-@_-"/>
    <x:numFmt numFmtId="166" formatCode="0.0"/>
  </x:numFmts>
  <x:fonts count="14">
    <x:font>
      <x:sz val="11"/>
      <x:color theme="1"/>
      <x:name val="Calibri"/>
    </x:font>
    <x:font>
      <x:sz val="11"/>
      <x:color theme="1"/>
      <x:name val="Calibri"/>
    </x:font>
    <x:font>
      <x:sz val="11"/>
      <x:color rgb="FF9C0006"/>
      <x:name val="Calibri"/>
    </x:font>
    <x:font>
      <x:sz val="10"/>
      <x:name val="Arial"/>
    </x:font>
    <x:font>
      <x:sz val="10"/>
      <x:color rgb="FF000000"/>
      <x:name val="Calibri"/>
    </x:font>
    <x:font>
      <x:b/>
      <x:sz val="11"/>
      <x:color theme="1"/>
      <x:name val="Calibri"/>
    </x:font>
    <x:font>
      <x:b/>
      <x:sz val="11"/>
      <x:name val="Calibri"/>
    </x:font>
    <x:font>
      <x:sz val="11"/>
      <x:name val="Calibri"/>
    </x:font>
    <x:font>
      <x:b/>
      <x:sz val="11"/>
      <x:color rgb="FFFFFFFF"/>
      <x:name val="Calibri"/>
    </x:font>
    <x:font>
      <x:sz val="9"/>
      <x:color rgb="FF0070C0"/>
      <x:name val="Tahoma"/>
    </x:font>
    <x:font>
      <x:b/>
      <x:sz val="10"/>
      <x:color rgb="FF0070C0"/>
      <x:name val="Times New Roman"/>
    </x:font>
    <x:font>
      <x:sz val="10"/>
      <x:color rgb="FF0070C0"/>
      <x:name val="Times New Roman"/>
    </x:font>
    <x:font>
      <x:sz val="9"/>
      <x:color rgb="FF444040"/>
      <x:name val="Tahoma"/>
    </x:font>
    <x:font>
      <x:sz val="10"/>
      <x:color rgb="FFFF0000"/>
      <x:name val="Calibri"/>
    </x:font>
  </x:fonts>
  <x:fills count="8">
    <x:fill>
      <x:patternFill patternType="none"/>
    </x:fill>
    <x:fill>
      <x:patternFill patternType="gray125"/>
    </x:fill>
    <x:fill>
      <x:patternFill patternType="solid">
        <x:fgColor rgb="FFFFC7CE"/>
      </x:patternFill>
    </x:fill>
    <x:fill>
      <x:patternFill patternType="solid">
        <x:fgColor theme="5"/>
      </x:patternFill>
    </x:fill>
    <x:fill>
      <x:patternFill patternType="solid">
        <x:fgColor theme="0"/>
      </x:patternFill>
    </x:fill>
    <x:fill>
      <x:patternFill patternType="solid">
        <x:fgColor rgb="FF1F4E79"/>
      </x:patternFill>
    </x:fill>
    <x:fill>
      <x:patternFill patternType="solid">
        <x:fgColor rgb="FF70AD47"/>
      </x:patternFill>
    </x:fill>
    <x:fill>
      <x:patternFill patternType="solid">
        <x:fgColor rgb="FF5B9BD5"/>
      </x:patternFill>
    </x:fill>
  </x:fills>
  <x:borders count="1">
    <x:border/>
  </x:borders>
  <x:cellStyleXfs count="10">
    <x:xf numFmtId="0" fontId="0" fillId="0" borderId="0"/>
    <x:xf numFmtId="0" fontId="2" fillId="2" borderId="0" applyNumberFormat="0" applyBorder="0" applyAlignment="0" applyProtection="0"/>
    <x:xf numFmtId="0" fontId="1" fillId="0" borderId="0"/>
    <x:xf numFmtId="0" fontId="3" fillId="0" borderId="0"/>
    <x:xf numFmtId="164" fontId="3" fillId="0" borderId="0" applyFont="0" applyFill="0" applyBorder="0" applyAlignment="0" applyProtection="0"/>
    <x:xf numFmtId="165" fontId="3" fillId="0" borderId="0" applyFont="0" applyFill="0" applyBorder="0" applyAlignment="0" applyProtection="0"/>
    <x:xf numFmtId="0" fontId="3" fillId="0" borderId="0"/>
    <x:xf numFmtId="0" fontId="3" fillId="0" borderId="0"/>
    <x:xf numFmtId="9" fontId="3" fillId="0" borderId="0" applyFont="0" applyFill="0" applyBorder="0" applyAlignment="0" applyProtection="0"/>
    <x:xf numFmtId="0" fontId="4" fillId="0" borderId="0"/>
  </x:cellStyleXfs>
  <x:cellXfs count="15">
    <x:xf numFmtId="0" fontId="0" fillId="0" borderId="0" xfId="0"/>
    <x:xf numFmtId="0" fontId="1" fillId="0" borderId="0" xfId="2"/>
    <x:xf numFmtId="0" fontId="2" fillId="2" borderId="0" xfId="1"/>
    <x:xf numFmtId="0" fontId="6" fillId="0" borderId="0" xfId="3" applyFont="1"/>
    <x:xf numFmtId="49" fontId="6" fillId="0" borderId="0" xfId="3" applyNumberFormat="1" applyFont="1"/>
    <x:xf numFmtId="0" fontId="5" fillId="0" borderId="0" xfId="2" applyFont="1"/>
    <x:xf numFmtId="0" fontId="8" fillId="5" borderId="0" xfId="0" applyNumberFormat="1" applyFont="1" applyFill="1" applyBorder="1"/>
    <x:xf numFmtId="0" fontId="8" fillId="5"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8" fillId="6" borderId="0" xfId="0" applyNumberFormat="1" applyFont="1" applyFill="1" applyBorder="1"/>
    <x:xf numFmtId="0" fontId="8" fillId="7" borderId="0" xfId="0" applyNumberFormat="1" applyFont="1" applyFill="1" applyBorder="1" applyAlignment="1">
      <x:alignment wrapText="1"/>
    </x:xf>
    <x:xf numFmtId="166" fontId="0" fillId="0" borderId="0" xfId="0" applyNumberFormat="1" applyFont="1" applyFill="1" applyBorder="1" applyAlignment="1">
      <x:alignment wrapText="1"/>
    </x:xf>
    <x:xf numFmtId="0" fontId="0" fillId="4" borderId="0" xfId="0" applyNumberFormat="1" applyFont="1" applyFill="1" applyBorder="1" applyAlignment="1">
      <x:alignment wrapText="1"/>
    </x:xf>
    <x:xf numFmtId="0" fontId="0" fillId="3" borderId="0" xfId="0" applyNumberFormat="1" applyFont="1" applyFill="1" applyBorder="1" applyAlignment="1">
      <x:alignment wrapText="1"/>
    </x:xf>
    <x:xf numFmtId="0" fontId="7" fillId="3" borderId="0" xfId="0" applyNumberFormat="1" applyFont="1" applyFill="1" applyBorder="1" applyAlignment="1">
      <x:alignment wrapText="1"/>
    </x:xf>
  </x:cellXfs>
  <x:cellStyles count="10">
    <x:cellStyle name="Bad" xfId="1"/>
    <x:cellStyle name="Comma 2" xfId="4"/>
    <x:cellStyle name="Comma 4" xfId="5"/>
    <x:cellStyle name="Normal" xfId="0"/>
    <x:cellStyle name="Normal 17" xfId="3"/>
    <x:cellStyle name="Normal 2" xfId="6"/>
    <x:cellStyle name="Normal 2 2" xfId="7"/>
    <x:cellStyle name="Normal 3" xfId="2"/>
    <x:cellStyle name="Normal 4" xfId="9"/>
    <x:cellStyle name="Percent 2" xfId="8"/>
  </x:cellStyles>
  <x:dxfs count="5">
    <x:dxf>
      <x:fill>
        <x:patternFill>
          <x:bgColor rgb="FFFFF2CC"/>
        </x:patternFill>
      </x:fill>
    </x:dxf>
    <x:dxf>
      <x:fill>
        <x:patternFill>
          <x:bgColor rgb="FFD9EAD3"/>
        </x:patternFill>
      </x:fill>
    </x:dxf>
    <x:dxf>
      <x:fill>
        <x:patternFill>
          <x:bgColor rgb="FFFFF2CC"/>
        </x:patternFill>
      </x:fill>
    </x:dxf>
    <x:dxf>
      <x:fill>
        <x:patternFill>
          <x:bgColor rgb="FFFCE4D6"/>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6e034e47fb24995" /><Relationship Type="http://schemas.openxmlformats.org/officeDocument/2006/relationships/theme" Target="/xl/theme/theme1.xml" Id="R981cb2afd16b4cfe" /><Relationship Type="http://schemas.openxmlformats.org/officeDocument/2006/relationships/sharedStrings" Target="/xl/sharedStrings.xml" Id="Rf3f8b4007f49463d" /><Relationship Type="http://schemas.openxmlformats.org/officeDocument/2006/relationships/worksheet" Target="/xl/worksheets/sheet1.xml" Id="Rb1dcddb9033e41d5" /><Relationship Type="http://schemas.openxmlformats.org/officeDocument/2006/relationships/worksheet" Target="/xl/worksheets/sheet2.xml" Id="R9fb685213dd44f18" /><Relationship Type="http://schemas.openxmlformats.org/officeDocument/2006/relationships/worksheet" Target="/xl/worksheets/sheet3.xml" Id="Rbffdb314c1884efb" /><Relationship Type="http://schemas.openxmlformats.org/officeDocument/2006/relationships/worksheet" Target="/xl/worksheets/sheet4.xml" Id="Rcdc0468d37e346a8" /><Relationship Type="http://schemas.openxmlformats.org/officeDocument/2006/relationships/worksheet" Target="/xl/worksheets/sheet5.xml" Id="R941a4167aa84498c" /><Relationship Type="http://schemas.openxmlformats.org/officeDocument/2006/relationships/worksheet" Target="/xl/worksheets/sheet6.xml" Id="R0733aa696443465b" /><Relationship Type="http://schemas.openxmlformats.org/officeDocument/2006/relationships/worksheet" Target="/xl/worksheets/sheet7.xml" Id="R978202028c7b4f15" /></Relationships>
</file>

<file path=xl/tables/table1.xml><?xml version="1.0" encoding="utf-8"?>
<x:table xmlns:x="http://schemas.openxmlformats.org/spreadsheetml/2006/main" id="1" name="NISRMappingTable" displayName="NISRMappingTable" ref="A1:AA41">
  <x:tableColumns count="27">
    <x:tableColumn id="1" name="Mapping_ID"/>
    <x:tableColumn id="2" name="Indicator"/>
    <x:tableColumn id="3" name="Series"/>
    <x:tableColumn id="4" name="Series_Code"/>
    <x:tableColumn id="5" name="Dashboard_Description"/>
    <x:tableColumn id="6" name="Unit_Code"/>
    <x:tableColumn id="7" name="Data_Source"/>
    <x:tableColumn id="8" name="Latest_Year"/>
    <x:tableColumn id="9" name="Latest_Value"/>
    <x:tableColumn id="10" name="Report_Family"/>
    <x:tableColumn id="11" name="Report_Name"/>
    <x:tableColumn id="12" name="Report_Year"/>
    <x:tableColumn id="13" name="File_Type"/>
    <x:tableColumn id="14" name="File_Name_or_Link"/>
    <x:tableColumn id="15" name="Sheet_or_Page"/>
    <x:tableColumn id="16" name="Table_No"/>
    <x:tableColumn id="17" name="Table_Title"/>
    <x:tableColumn id="18" name="Report_Indicator_Name"/>
    <x:tableColumn id="19" name="Row_Label"/>
    <x:tableColumn id="20" name="Column_Label"/>
    <x:tableColumn id="21" name="Geography"/>
    <x:tableColumn id="22" name="Disaggregation"/>
    <x:tableColumn id="23" name="Extraction_Method"/>
    <x:tableColumn id="24" name="Confidence"/>
    <x:tableColumn id="25" name="Status"/>
    <x:tableColumn id="26" name="Reviewer"/>
    <x:tableColumn id="27" name="Notes"/>
  </x:tableColumns>
  <x:tableStyleInfo name="TableStyleMedium2" showFirstColumn="0" showLastColumn="0" showRowStripes="1" showColumnStripes="0"/>
</x:table>
</file>

<file path=xl/tables/table2.xml><?xml version="1.0" encoding="utf-8"?>
<x:table xmlns:x="http://schemas.openxmlformats.org/spreadsheetml/2006/main" id="2" name="ReportRegisterTable" displayName="ReportRegisterTable" ref="A1:K7">
  <x:tableColumns count="11">
    <x:tableColumn id="1" name="Report_ID"/>
    <x:tableColumn id="2" name="Report_Family"/>
    <x:tableColumn id="3" name="Report_Name"/>
    <x:tableColumn id="4" name="Report_Year"/>
    <x:tableColumn id="5" name="File_Type"/>
    <x:tableColumn id="6" name="File_Name_or_Link"/>
    <x:tableColumn id="7" name="Publication_Date"/>
    <x:tableColumn id="8" name="Frequency"/>
    <x:tableColumn id="9" name="Status"/>
    <x:tableColumn id="10" name="Owner"/>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ProposedUpdatesTable" displayName="ProposedUpdatesTable" ref="A1:N2">
  <x:tableColumns count="14">
    <x:tableColumn id="1" name="Update_ID"/>
    <x:tableColumn id="2" name="Mapping_ID"/>
    <x:tableColumn id="3" name="Indicator"/>
    <x:tableColumn id="4" name="Series_Code"/>
    <x:tableColumn id="5" name="Year"/>
    <x:tableColumn id="6" name="Old_Value"/>
    <x:tableColumn id="7" name="New_Value"/>
    <x:tableColumn id="8" name="Difference"/>
    <x:tableColumn id="9" name="Source_Report"/>
    <x:tableColumn id="10" name="Table_or_Sheet"/>
    <x:tableColumn id="11" name="Evidence_Page"/>
    <x:tableColumn id="12" name="Extraction_Date"/>
    <x:tableColumn id="13" name="Status"/>
    <x:tableColumn id="14" name="Reviewer_Comment"/>
  </x:tableColumns>
  <x:tableStyleInfo name="TableStyleMedium2" showFirstColumn="0" showLastColumn="0" showRowStripes="1" showColumnStripes="0"/>
</x:table>
</file>

<file path=xl/tables/table4.xml><?xml version="1.0" encoding="utf-8"?>
<x:table xmlns:x="http://schemas.openxmlformats.org/spreadsheetml/2006/main" id="4" name="AutomationGuideTable" displayName="AutomationGuideTable" ref="A1:B7">
  <x:tableColumns count="2">
    <x:tableColumn id="1" name="Item"/>
    <x:tableColumn id="2" name="Value"/>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753ceb2632574e0c" /></Relationships>
</file>

<file path=xl/worksheets/_rels/sheet4.xml.rels>&#65279;<?xml version="1.0" encoding="utf-8"?><Relationships xmlns="http://schemas.openxmlformats.org/package/2006/relationships"><Relationship Type="http://schemas.openxmlformats.org/officeDocument/2006/relationships/table" Target="/xl/tables/table2.xml" Id="Rcb1f40f93e5349e7" /></Relationships>
</file>

<file path=xl/worksheets/_rels/sheet5.xml.rels>&#65279;<?xml version="1.0" encoding="utf-8"?><Relationships xmlns="http://schemas.openxmlformats.org/package/2006/relationships"><Relationship Type="http://schemas.openxmlformats.org/officeDocument/2006/relationships/table" Target="/xl/tables/table3.xml" Id="R3dcbc59f969b4eb3" /></Relationships>
</file>

<file path=xl/worksheets/_rels/sheet7.xml.rels>&#65279;<?xml version="1.0" encoding="utf-8"?><Relationships xmlns="http://schemas.openxmlformats.org/package/2006/relationships"><Relationship Type="http://schemas.openxmlformats.org/officeDocument/2006/relationships/table" Target="/xl/tables/table4.xml" Id="Rfe81d903e2724a18" /></Relationships>
</file>

<file path=xl/worksheets/sheet1.xml><?xml version="1.0" encoding="utf-8"?>
<x:worksheet xmlns:x="http://schemas.openxmlformats.org/spreadsheetml/2006/main">
  <x:sheetFormatPr defaultColWidth="9.33203125" defaultRowHeight="14.399999618530273"/>
  <x:cols>
    <x:col min="1" max="1" width="10.6640625" customWidth="1"/>
    <x:col min="2" max="2" width="82.88671875" customWidth="1"/>
    <x:col min="3" max="3" width="15.6640625" customWidth="1"/>
    <x:col min="4" max="10" width="10.6640625" customWidth="1"/>
    <x:col min="11" max="11" width="24.88671875" customWidth="1"/>
    <x:col min="12" max="12" width="18.88671875" customWidth="1"/>
    <x:col min="13" max="13" width="18.33203125" customWidth="1"/>
    <x:col min="14" max="14" width="6.6640625" customWidth="1"/>
    <x:col min="15" max="15" width="93" customWidth="1"/>
    <x:col min="16" max="16" width="255" customWidth="1"/>
    <x:col min="17" max="17" width="8.33203125" customWidth="1"/>
    <x:col min="18" max="18" width="12.109375" customWidth="1"/>
    <x:col min="19" max="19" width="9.44140625" customWidth="1"/>
    <x:col min="20" max="20" width="11.77734375" customWidth="1"/>
    <x:col min="21" max="21" width="6.88671875" customWidth="1"/>
    <x:col min="22" max="32" width="5" customWidth="1"/>
    <x:col min="33" max="33" width="9.5546875" customWidth="1"/>
    <x:col min="34" max="34" width="10.5546875" customWidth="1"/>
    <x:col min="35" max="35" width="9.5546875" customWidth="1"/>
    <x:col min="36" max="36" width="8.5546875" customWidth="1"/>
    <x:col min="37" max="37" width="12.109375" customWidth="1"/>
    <x:col min="38" max="38" width="9.5546875" customWidth="1"/>
    <x:col min="39" max="39" width="12.109375" customWidth="1"/>
    <x:col min="40" max="41" width="9.5546875" customWidth="1"/>
    <x:col min="42" max="42" width="8.5546875" customWidth="1"/>
    <x:col min="43" max="43" width="8" customWidth="1"/>
    <x:col min="44" max="44" width="12.109375" customWidth="1"/>
    <x:col min="45" max="45" width="8" customWidth="1"/>
    <x:col min="46" max="46" width="5" customWidth="1"/>
    <x:col min="47" max="47" width="65" hidden="0" customWidth="1"/>
  </x:cols>
  <x:sheetData>
    <x:row r="1" ht="15.899999618530273" customHeight="1">
      <x:c r="A1" s="10" t="s">
        <x:v>0</x:v>
      </x:c>
      <x:c r="B1" s="10" t="s">
        <x:v>1</x:v>
      </x:c>
      <x:c r="C1" s="10" t="s">
        <x:v>2</x:v>
      </x:c>
      <x:c r="D1" s="10" t="s">
        <x:v>3</x:v>
      </x:c>
      <x:c r="E1" s="10" t="s">
        <x:v>4</x:v>
      </x:c>
      <x:c r="F1" s="10" t="s">
        <x:v>5</x:v>
      </x:c>
      <x:c r="G1" s="10" t="s">
        <x:v>6</x:v>
      </x:c>
      <x:c r="H1" s="10" t="s">
        <x:v>7</x:v>
      </x:c>
      <x:c r="I1" s="10" t="s">
        <x:v>8</x:v>
      </x:c>
      <x:c r="J1" s="10" t="s">
        <x:v>9</x:v>
      </x:c>
      <x:c r="K1" s="10" t="s">
        <x:v>10</x:v>
      </x:c>
      <x:c r="L1" s="10" t="s">
        <x:v>11</x:v>
      </x:c>
      <x:c r="M1" s="10" t="s">
        <x:v>12</x:v>
      </x:c>
      <x:c r="N1" s="10" t="s">
        <x:v>13</x:v>
      </x:c>
      <x:c r="O1" s="10" t="s">
        <x:v>14</x:v>
      </x:c>
      <x:c r="P1" s="10" t="s">
        <x:v>15</x:v>
      </x:c>
      <x:c r="Q1" s="10" t="s">
        <x:v>16</x:v>
      </x:c>
      <x:c r="R1" s="10" t="s">
        <x:v>17</x:v>
      </x:c>
      <x:c r="S1" s="10" t="s">
        <x:v>18</x:v>
      </x:c>
      <x:c r="T1" s="10" t="s">
        <x:v>19</x:v>
      </x:c>
      <x:c r="U1" s="10" t="s">
        <x:v>20</x:v>
      </x:c>
      <x:c r="V1" s="10">
        <x:v>2000</x:v>
      </x:c>
      <x:c r="W1" s="10">
        <x:v>2001</x:v>
      </x:c>
      <x:c r="X1" s="10">
        <x:v>2002</x:v>
      </x:c>
      <x:c r="Y1" s="10">
        <x:v>2003</x:v>
      </x:c>
      <x:c r="Z1" s="10">
        <x:v>2004</x:v>
      </x:c>
      <x:c r="AA1" s="10">
        <x:v>2005</x:v>
      </x:c>
      <x:c r="AB1" s="10">
        <x:v>2006</x:v>
      </x:c>
      <x:c r="AC1" s="10">
        <x:v>2007</x:v>
      </x:c>
      <x:c r="AD1" s="10">
        <x:v>2008</x:v>
      </x:c>
      <x:c r="AE1" s="10">
        <x:v>2009</x:v>
      </x:c>
      <x:c r="AF1" s="10">
        <x:v>2010</x:v>
      </x:c>
      <x:c r="AG1" s="10">
        <x:v>2011</x:v>
      </x:c>
      <x:c r="AH1" s="10">
        <x:v>2012</x:v>
      </x:c>
      <x:c r="AI1" s="10">
        <x:v>2013</x:v>
      </x:c>
      <x:c r="AJ1" s="10">
        <x:v>2014</x:v>
      </x:c>
      <x:c r="AK1" s="10">
        <x:v>2015</x:v>
      </x:c>
      <x:c r="AL1" s="10">
        <x:v>2016</x:v>
      </x:c>
      <x:c r="AM1" s="10">
        <x:v>2017</x:v>
      </x:c>
      <x:c r="AN1" s="10">
        <x:v>2018</x:v>
      </x:c>
      <x:c r="AO1" s="10">
        <x:v>2019</x:v>
      </x:c>
      <x:c r="AP1" s="10">
        <x:v>2020</x:v>
      </x:c>
      <x:c r="AQ1" s="10">
        <x:v>2021</x:v>
      </x:c>
      <x:c r="AR1" s="10">
        <x:v>2022</x:v>
      </x:c>
      <x:c r="AS1" s="10">
        <x:v>2023</x:v>
      </x:c>
      <x:c r="AT1" s="10">
        <x:v>2024</x:v>
      </x:c>
      <x:c r="AU1" s="10" t="s">
        <x:v>21</x:v>
      </x:c>
    </x:row>
    <x:row r="2" ht="14.399999618530273" hidden="1" customHeight="1">
      <x:c r="A2" s="8" t="s">
        <x:v>22</x:v>
      </x:c>
      <x:c r="B2" s="8" t="s">
        <x:v>23</x:v>
      </x:c>
      <x:c r="C2" s="8" t="s">
        <x:v>24</x:v>
      </x:c>
      <x:c r="D2" s="8" t="s">
        <x:v>25</x:v>
      </x:c>
      <x:c r="E2" s="8" t="s">
        <x:v>26</x:v>
      </x:c>
      <x:c r="F2" s="8"/>
      <x:c r="G2" s="8" t="s">
        <x:v>25</x:v>
      </x:c>
      <x:c r="H2" s="8" t="s">
        <x:v>27</x:v>
      </x:c>
      <x:c r="I2" s="8"/>
      <x:c r="J2" s="8"/>
      <x:c r="K2" s="8"/>
      <x:c r="L2" s="8" t="s">
        <x:v>25</x:v>
      </x:c>
      <x:c r="M2" s="8"/>
      <x:c r="N2" s="8" t="s">
        <x:v>25</x:v>
      </x:c>
      <x:c r="O2" s="8" t="s">
        <x:v>28</x:v>
      </x:c>
      <x:c r="P2" s="8" t="s">
        <x:v>29</x:v>
      </x:c>
      <x:c r="Q2" s="8"/>
      <x:c r="R2" s="8" t="s">
        <x:v>25</x:v>
      </x:c>
      <x:c r="S2" s="8"/>
      <x:c r="T2" s="8" t="s">
        <x:v>25</x:v>
      </x:c>
      <x:c r="U2" s="8"/>
      <x:c r="V2" s="8">
        <x:v>77.2</x:v>
      </x:c>
      <x:c r="W2" s="8"/>
      <x:c r="X2" s="8"/>
      <x:c r="Y2" s="8"/>
      <x:c r="Z2" s="8"/>
      <x:c r="AA2" s="8">
        <x:v>68.3</x:v>
      </x:c>
      <x:c r="AB2" s="8"/>
      <x:c r="AC2" s="8"/>
      <x:c r="AD2" s="8"/>
      <x:c r="AE2" s="8"/>
      <x:c r="AF2" s="8"/>
      <x:c r="AG2" s="8">
        <x:v>62.3</x:v>
      </x:c>
      <x:c r="AH2" s="8"/>
      <x:c r="AI2" s="8"/>
      <x:c r="AJ2" s="8">
        <x:v>56.8</x:v>
      </x:c>
      <x:c r="AK2" s="8"/>
      <x:c r="AL2" s="8"/>
      <x:c r="AM2" s="11">
        <x:v>52</x:v>
      </x:c>
      <x:c r="AN2" s="8"/>
      <x:c r="AO2" s="8"/>
      <x:c r="AP2" s="8"/>
      <x:c r="AQ2" s="8"/>
      <x:c r="AR2" s="8"/>
      <x:c r="AS2" s="8"/>
      <x:c r="AT2" s="8"/>
      <x:c r="AU2" s="8" t="str">
        <x:v>Not applicable—source is not an NISR publication: World Bank.</x:v>
      </x:c>
    </x:row>
    <x:row r="3" ht="26.399999618530273" hidden="0" customHeight="1">
      <x:c r="A3" s="8" t="s">
        <x:v>30</x:v>
      </x:c>
      <x:c r="B3" s="8" t="s">
        <x:v>31</x:v>
      </x:c>
      <x:c r="C3" s="8" t="s">
        <x:v>32</x:v>
      </x:c>
      <x:c r="D3" s="8" t="s">
        <x:v>25</x:v>
      </x:c>
      <x:c r="E3" s="8" t="s">
        <x:v>26</x:v>
      </x:c>
      <x:c r="F3" s="8"/>
      <x:c r="G3" s="8" t="s">
        <x:v>25</x:v>
      </x:c>
      <x:c r="H3" s="8" t="s">
        <x:v>27</x:v>
      </x:c>
      <x:c r="I3" s="8"/>
      <x:c r="J3" s="8"/>
      <x:c r="K3" s="8"/>
      <x:c r="L3" s="8" t="s">
        <x:v>25</x:v>
      </x:c>
      <x:c r="M3" s="8"/>
      <x:c r="N3" s="8" t="s">
        <x:v>25</x:v>
      </x:c>
      <x:c r="O3" s="8" t="s">
        <x:v>33</x:v>
      </x:c>
      <x:c r="P3" s="8" t="s">
        <x:v>34</x:v>
      </x:c>
      <x:c r="Q3" s="8"/>
      <x:c r="R3" s="8" t="s">
        <x:v>25</x:v>
      </x:c>
      <x:c r="S3" s="8"/>
      <x:c r="T3" s="8" t="s">
        <x:v>25</x:v>
      </x:c>
      <x:c r="U3" s="8"/>
      <x:c r="V3" s="8">
        <x:v>58.9</x:v>
      </x:c>
      <x:c r="W3" s="8"/>
      <x:c r="X3" s="8"/>
      <x:c r="Y3" s="8"/>
      <x:c r="Z3" s="8"/>
      <x:c r="AA3" s="8">
        <x:v>56.7</x:v>
      </x:c>
      <x:c r="AB3" s="8"/>
      <x:c r="AC3" s="8"/>
      <x:c r="AD3" s="8"/>
      <x:c r="AE3" s="8"/>
      <x:c r="AF3" s="8"/>
      <x:c r="AG3" s="8">
        <x:v>44.9</x:v>
      </x:c>
      <x:c r="AH3" s="8"/>
      <x:c r="AI3" s="8"/>
      <x:c r="AJ3" s="8">
        <x:v>39.1</x:v>
      </x:c>
      <x:c r="AK3" s="8"/>
      <x:c r="AL3" s="8"/>
      <x:c r="AM3" s="8">
        <x:v>38.200000000000003</x:v>
      </x:c>
      <x:c r="AN3" s="8"/>
      <x:c r="AO3" s="8"/>
      <x:c r="AP3" s="8"/>
      <x:c r="AQ3" s="8"/>
      <x:c r="AR3" s="8"/>
      <x:c r="AS3" s="8"/>
      <x:c r="AT3" s="8">
        <x:v>27.4</x:v>
      </x:c>
      <x:c r="AU3" s="8" t="str">
        <x:v>Table 9.1, Headcount poverty rate (%)—EICV7 (2023/24), p. 79, EICV7 Main Indicators Report 2023/24 (2025)</x:v>
      </x:c>
    </x:row>
    <x:row r="4" ht="26.399999618530273" hidden="0" customHeight="1">
      <x:c r="A4" s="8" t="s">
        <x:v>35</x:v>
      </x:c>
      <x:c r="B4" s="8" t="s">
        <x:v>36</x:v>
      </x:c>
      <x:c r="C4" s="8" t="s">
        <x:v>37</x:v>
      </x:c>
      <x:c r="D4" s="8" t="s">
        <x:v>25</x:v>
      </x:c>
      <x:c r="E4" s="8" t="s">
        <x:v>38</x:v>
      </x:c>
      <x:c r="F4" s="8"/>
      <x:c r="G4" s="8" t="s">
        <x:v>25</x:v>
      </x:c>
      <x:c r="H4" s="8" t="s">
        <x:v>27</x:v>
      </x:c>
      <x:c r="I4" s="8"/>
      <x:c r="J4" s="8"/>
      <x:c r="K4" s="8"/>
      <x:c r="L4" s="8" t="s">
        <x:v>25</x:v>
      </x:c>
      <x:c r="M4" s="8"/>
      <x:c r="N4" s="8" t="s">
        <x:v>25</x:v>
      </x:c>
      <x:c r="O4" s="8" t="s">
        <x:v>39</x:v>
      </x:c>
      <x:c r="P4" s="8" t="s">
        <x:v>40</x:v>
      </x:c>
      <x:c r="Q4" s="8"/>
      <x:c r="R4" s="8" t="s">
        <x:v>25</x:v>
      </x:c>
      <x:c r="S4" s="8"/>
      <x:c r="T4" s="8" t="s">
        <x:v>25</x:v>
      </x:c>
      <x:c r="U4" s="8"/>
      <x:c r="V4" s="8"/>
      <x:c r="W4" s="8"/>
      <x:c r="X4" s="8"/>
      <x:c r="Y4" s="8"/>
      <x:c r="Z4" s="8"/>
      <x:c r="AA4" s="11">
        <x:v>0.443</x:v>
      </x:c>
      <x:c r="AB4" s="8"/>
      <x:c r="AC4" s="8"/>
      <x:c r="AD4" s="8"/>
      <x:c r="AE4" s="8"/>
      <x:c r="AF4" s="11">
        <x:v>0.35</x:v>
      </x:c>
      <x:c r="AG4" s="11">
        <x:v>0.24</x:v>
      </x:c>
      <x:c r="AH4" s="11">
        <x:v>0.16700000000000001</x:v>
      </x:c>
      <x:c r="AI4" s="8"/>
      <x:c r="AJ4" s="11">
        <x:v>0.17</x:v>
      </x:c>
      <x:c r="AK4" s="8"/>
      <x:c r="AL4" s="8"/>
      <x:c r="AM4" s="11">
        <x:v>0.15</x:v>
      </x:c>
      <x:c r="AN4" s="8"/>
      <x:c r="AO4" s="8"/>
      <x:c r="AP4" s="8"/>
      <x:c r="AQ4" s="8"/>
      <x:c r="AR4" s="11">
        <x:v>0.129</x:v>
      </x:c>
      <x:c r="AS4" s="8"/>
      <x:c r="AT4" s="11">
        <x:v>0.13600000000000001</x:v>
      </x:c>
      <x:c r="AU4" s="8" t="str">
        <x:v>Table B.5, Incidence, Intensity and MPI, by area and province (k=33.3%), p. 42, EICV7 Multidimensional Poverty Thematic Report (2025)</x:v>
      </x:c>
    </x:row>
    <x:row r="5" ht="26.399999618530273" hidden="1" customHeight="1">
      <x:c r="A5" s="8" t="s">
        <x:v>41</x:v>
      </x:c>
      <x:c r="B5" s="8" t="s">
        <x:v>42</x:v>
      </x:c>
      <x:c r="C5" s="8" t="s">
        <x:v>43</x:v>
      </x:c>
      <x:c r="D5" s="8" t="s">
        <x:v>25</x:v>
      </x:c>
      <x:c r="E5" s="8" t="s">
        <x:v>26</x:v>
      </x:c>
      <x:c r="F5" s="8"/>
      <x:c r="G5" s="8" t="s">
        <x:v>25</x:v>
      </x:c>
      <x:c r="H5" s="8" t="s">
        <x:v>27</x:v>
      </x:c>
      <x:c r="I5" s="8"/>
      <x:c r="J5" s="8"/>
      <x:c r="K5" s="8"/>
      <x:c r="L5" s="8" t="s">
        <x:v>25</x:v>
      </x:c>
      <x:c r="M5" s="8"/>
      <x:c r="N5" s="8" t="s">
        <x:v>25</x:v>
      </x:c>
      <x:c r="O5" s="8" t="s">
        <x:v>44</x:v>
      </x:c>
      <x:c r="P5" s="8" t="s">
        <x:v>45</x:v>
      </x:c>
      <x:c r="Q5" s="8"/>
      <x:c r="R5" s="8" t="s">
        <x:v>25</x:v>
      </x:c>
      <x:c r="S5" s="8"/>
      <x:c r="T5" s="8" t="s">
        <x:v>25</x:v>
      </x:c>
      <x:c r="U5" s="8"/>
      <x:c r="V5" s="8"/>
      <x:c r="W5" s="8"/>
      <x:c r="X5" s="8"/>
      <x:c r="Y5" s="8"/>
      <x:c r="Z5" s="8"/>
      <x:c r="AA5" s="8"/>
      <x:c r="AB5" s="8"/>
      <x:c r="AC5" s="8"/>
      <x:c r="AD5" s="8"/>
      <x:c r="AE5" s="8"/>
      <x:c r="AF5" s="8"/>
      <x:c r="AG5" s="8"/>
      <x:c r="AH5" s="8"/>
      <x:c r="AI5" s="8"/>
      <x:c r="AJ5" s="8"/>
      <x:c r="AK5" s="8"/>
      <x:c r="AL5" s="8"/>
      <x:c r="AM5" s="8">
        <x:v>6.5</x:v>
      </x:c>
      <x:c r="AN5" s="8">
        <x:v>6.5</x:v>
      </x:c>
      <x:c r="AO5" s="8"/>
      <x:c r="AP5" s="8"/>
      <x:c r="AQ5" s="8"/>
      <x:c r="AR5" s="11">
        <x:v>11</x:v>
      </x:c>
      <x:c r="AS5" s="8"/>
      <x:c r="AT5" s="8"/>
      <x:c r="AU5" s="8" t="str">
        <x:v>Not applicable—source is not an NISR publication: BLJSR/Social protection (Minaloc: 2021/22), RSSB, 2022/23.</x:v>
      </x:c>
    </x:row>
    <x:row r="6" ht="14.399999618530273" hidden="1" customHeight="1">
      <x:c r="A6" s="8" t="s">
        <x:v>46</x:v>
      </x:c>
      <x:c r="B6" s="8" t="s">
        <x:v>47</x:v>
      </x:c>
      <x:c r="C6" s="8" t="s">
        <x:v>48</x:v>
      </x:c>
      <x:c r="D6" s="8" t="s">
        <x:v>25</x:v>
      </x:c>
      <x:c r="E6" s="8" t="s">
        <x:v>26</x:v>
      </x:c>
      <x:c r="F6" s="8"/>
      <x:c r="G6" s="8" t="s">
        <x:v>25</x:v>
      </x:c>
      <x:c r="H6" s="8" t="s">
        <x:v>27</x:v>
      </x:c>
      <x:c r="I6" s="8"/>
      <x:c r="J6" s="8"/>
      <x:c r="K6" s="8"/>
      <x:c r="L6" s="8" t="s">
        <x:v>25</x:v>
      </x:c>
      <x:c r="M6" s="8"/>
      <x:c r="N6" s="8" t="s">
        <x:v>25</x:v>
      </x:c>
      <x:c r="O6" s="8" t="s">
        <x:v>49</x:v>
      </x:c>
      <x:c r="P6" s="8" t="s">
        <x:v>47</x:v>
      </x:c>
      <x:c r="Q6" s="8"/>
      <x:c r="R6" s="8" t="s">
        <x:v>25</x:v>
      </x:c>
      <x:c r="S6" s="8"/>
      <x:c r="T6" s="8" t="s">
        <x:v>25</x:v>
      </x:c>
      <x:c r="U6" s="8"/>
      <x:c r="V6" s="8"/>
      <x:c r="W6" s="8"/>
      <x:c r="X6" s="8"/>
      <x:c r="Y6" s="8"/>
      <x:c r="Z6" s="8"/>
      <x:c r="AA6" s="8"/>
      <x:c r="AB6" s="8"/>
      <x:c r="AC6" s="8"/>
      <x:c r="AD6" s="8"/>
      <x:c r="AE6" s="8"/>
      <x:c r="AF6" s="8"/>
      <x:c r="AG6" s="8"/>
      <x:c r="AH6" s="8"/>
      <x:c r="AI6" s="8"/>
      <x:c r="AJ6" s="8"/>
      <x:c r="AK6" s="8"/>
      <x:c r="AL6" s="8"/>
      <x:c r="AM6" s="8"/>
      <x:c r="AN6" s="8"/>
      <x:c r="AO6" s="8">
        <x:v>38.200000000000003</x:v>
      </x:c>
      <x:c r="AP6" s="8"/>
      <x:c r="AQ6" s="8"/>
      <x:c r="AR6" s="8"/>
      <x:c r="AS6" s="8"/>
      <x:c r="AT6" s="8"/>
      <x:c r="AU6" s="8" t="str">
        <x:v>Not applicable—source is not an NISR publication: BLJSR 2019/20.</x:v>
      </x:c>
    </x:row>
    <x:row r="7" ht="14.399999618530273" hidden="1" customHeight="1">
      <x:c r="A7" s="8" t="s">
        <x:v>50</x:v>
      </x:c>
      <x:c r="B7" s="8" t="s">
        <x:v>51</x:v>
      </x:c>
      <x:c r="C7" s="8" t="s">
        <x:v>52</x:v>
      </x:c>
      <x:c r="D7" s="8" t="s">
        <x:v>25</x:v>
      </x:c>
      <x:c r="E7" s="8" t="s">
        <x:v>53</x:v>
      </x:c>
      <x:c r="F7" s="8"/>
      <x:c r="G7" s="8" t="s">
        <x:v>25</x:v>
      </x:c>
      <x:c r="H7" s="8" t="s">
        <x:v>27</x:v>
      </x:c>
      <x:c r="I7" s="8"/>
      <x:c r="J7" s="8"/>
      <x:c r="K7" s="8"/>
      <x:c r="L7" s="8" t="s">
        <x:v>25</x:v>
      </x:c>
      <x:c r="M7" s="8"/>
      <x:c r="N7" s="8" t="s">
        <x:v>25</x:v>
      </x:c>
      <x:c r="O7" s="8" t="s">
        <x:v>54</x:v>
      </x:c>
      <x:c r="P7" s="8" t="s">
        <x:v>55</x:v>
      </x:c>
      <x:c r="Q7" s="8"/>
      <x:c r="R7" s="8" t="s">
        <x:v>25</x:v>
      </x:c>
      <x:c r="S7" s="8"/>
      <x:c r="T7" s="8" t="s">
        <x:v>25</x:v>
      </x:c>
      <x:c r="U7" s="8"/>
      <x:c r="V7" s="8"/>
      <x:c r="W7" s="8"/>
      <x:c r="X7" s="8"/>
      <x:c r="Y7" s="8"/>
      <x:c r="Z7" s="8"/>
      <x:c r="AA7" s="8"/>
      <x:c r="AB7" s="8"/>
      <x:c r="AC7" s="8"/>
      <x:c r="AD7" s="8"/>
      <x:c r="AE7" s="8"/>
      <x:c r="AF7" s="8"/>
      <x:c r="AG7" s="8"/>
      <x:c r="AH7" s="8"/>
      <x:c r="AI7" s="8"/>
      <x:c r="AJ7" s="8"/>
      <x:c r="AK7" s="8"/>
      <x:c r="AL7" s="8"/>
      <x:c r="AM7" s="8"/>
      <x:c r="AN7" s="8"/>
      <x:c r="AO7" s="8"/>
      <x:c r="AP7" s="8"/>
      <x:c r="AQ7" s="8"/>
      <x:c r="AR7" s="8"/>
      <x:c r="AS7" s="8">
        <x:v>4218003</x:v>
      </x:c>
      <x:c r="AT7" s="8"/>
      <x:c r="AU7" s="8" t="str">
        <x:v>Not applicable—source is not an NISR publication: Rwanda Land Dashboard, 2023.</x:v>
      </x:c>
    </x:row>
    <x:row r="8" ht="26.399999618530273" hidden="1" customHeight="1">
      <x:c r="A8" s="8" t="s">
        <x:v>56</x:v>
      </x:c>
      <x:c r="B8" s="8" t="s">
        <x:v>57</x:v>
      </x:c>
      <x:c r="C8" s="8" t="s">
        <x:v>58</x:v>
      </x:c>
      <x:c r="D8" s="8" t="s">
        <x:v>25</x:v>
      </x:c>
      <x:c r="E8" s="8" t="s">
        <x:v>59</x:v>
      </x:c>
      <x:c r="F8" s="8"/>
      <x:c r="G8" s="8" t="s">
        <x:v>25</x:v>
      </x:c>
      <x:c r="H8" s="8" t="s">
        <x:v>27</x:v>
      </x:c>
      <x:c r="I8" s="8"/>
      <x:c r="J8" s="8"/>
      <x:c r="K8" s="8"/>
      <x:c r="L8" s="8" t="s">
        <x:v>25</x:v>
      </x:c>
      <x:c r="M8" s="8"/>
      <x:c r="N8" s="8" t="s">
        <x:v>25</x:v>
      </x:c>
      <x:c r="O8" s="8" t="s">
        <x:v>60</x:v>
      </x:c>
      <x:c r="P8" s="8" t="s">
        <x:v>61</x:v>
      </x:c>
      <x:c r="Q8" s="8"/>
      <x:c r="R8" s="8" t="s">
        <x:v>25</x:v>
      </x:c>
      <x:c r="S8" s="8"/>
      <x:c r="T8" s="8" t="s">
        <x:v>25</x:v>
      </x:c>
      <x:c r="U8" s="8"/>
      <x:c r="V8" s="8"/>
      <x:c r="W8" s="8"/>
      <x:c r="X8" s="8"/>
      <x:c r="Y8" s="8"/>
      <x:c r="Z8" s="8"/>
      <x:c r="AA8" s="8"/>
      <x:c r="AB8" s="8"/>
      <x:c r="AC8" s="8"/>
      <x:c r="AD8" s="8"/>
      <x:c r="AE8" s="8"/>
      <x:c r="AF8" s="8"/>
      <x:c r="AG8" s="8"/>
      <x:c r="AH8" s="8"/>
      <x:c r="AI8" s="8"/>
      <x:c r="AJ8" s="8"/>
      <x:c r="AK8" s="8"/>
      <x:c r="AL8" s="8">
        <x:v>1.59</x:v>
      </x:c>
      <x:c r="AM8" s="8">
        <x:v>0.69</x:v>
      </x:c>
      <x:c r="AN8" s="8">
        <x:v>2.1</x:v>
      </x:c>
      <x:c r="AO8" s="8">
        <x:v>1.08</x:v>
      </x:c>
      <x:c r="AP8" s="8">
        <x:v>2.35</x:v>
      </x:c>
      <x:c r="AQ8" s="8">
        <x:v>0.9</x:v>
      </x:c>
      <x:c r="AR8" s="8">
        <x:v>1.55</x:v>
      </x:c>
      <x:c r="AS8" s="8">
        <x:v>1.8</x:v>
      </x:c>
      <x:c r="AT8" s="8">
        <x:v>1.38</x:v>
      </x:c>
      <x:c r="AU8" s="8" t="str">
        <x:v>Not applicable—source is not an NISR publication: Annual disaster effects situation report , MINEMA.</x:v>
      </x:c>
    </x:row>
    <x:row r="9" ht="26.399999618530273" hidden="1" customHeight="1">
      <x:c r="A9" s="8" t="s">
        <x:v>62</x:v>
      </x:c>
      <x:c r="B9" s="8" t="s">
        <x:v>63</x:v>
      </x:c>
      <x:c r="C9" s="8" t="s">
        <x:v>64</x:v>
      </x:c>
      <x:c r="D9" s="8" t="s">
        <x:v>25</x:v>
      </x:c>
      <x:c r="E9" s="8" t="s">
        <x:v>53</x:v>
      </x:c>
      <x:c r="F9" s="8"/>
      <x:c r="G9" s="8" t="s">
        <x:v>25</x:v>
      </x:c>
      <x:c r="H9" s="8" t="s">
        <x:v>27</x:v>
      </x:c>
      <x:c r="I9" s="8"/>
      <x:c r="J9" s="8"/>
      <x:c r="K9" s="8"/>
      <x:c r="L9" s="8" t="s">
        <x:v>25</x:v>
      </x:c>
      <x:c r="M9" s="8"/>
      <x:c r="N9" s="8" t="s">
        <x:v>25</x:v>
      </x:c>
      <x:c r="O9" s="8" t="s">
        <x:v>60</x:v>
      </x:c>
      <x:c r="P9" s="8" t="s">
        <x:v>65</x:v>
      </x:c>
      <x:c r="Q9" s="8"/>
      <x:c r="R9" s="8" t="s">
        <x:v>25</x:v>
      </x:c>
      <x:c r="S9" s="8"/>
      <x:c r="T9" s="8" t="s">
        <x:v>25</x:v>
      </x:c>
      <x:c r="U9" s="8"/>
      <x:c r="V9" s="8"/>
      <x:c r="W9" s="8"/>
      <x:c r="X9" s="8"/>
      <x:c r="Y9" s="8"/>
      <x:c r="Z9" s="8"/>
      <x:c r="AA9" s="8"/>
      <x:c r="AB9" s="8"/>
      <x:c r="AC9" s="8"/>
      <x:c r="AD9" s="8"/>
      <x:c r="AE9" s="8"/>
      <x:c r="AF9" s="8"/>
      <x:c r="AG9" s="8"/>
      <x:c r="AH9" s="8"/>
      <x:c r="AI9" s="8"/>
      <x:c r="AJ9" s="8"/>
      <x:c r="AK9" s="8"/>
      <x:c r="AL9" s="8"/>
      <x:c r="AM9" s="8"/>
      <x:c r="AN9" s="8">
        <x:v>15910</x:v>
      </x:c>
      <x:c r="AO9" s="8">
        <x:v>5691</x:v>
      </x:c>
      <x:c r="AP9" s="8">
        <x:v>8098</x:v>
      </x:c>
      <x:c r="AQ9" s="8">
        <x:v>4808</x:v>
      </x:c>
      <x:c r="AR9" s="8">
        <x:v>4156</x:v>
      </x:c>
      <x:c r="AS9" s="8">
        <x:v>9955</x:v>
      </x:c>
      <x:c r="AT9" s="8">
        <x:v>2005</x:v>
      </x:c>
      <x:c r="AU9" s="8" t="str">
        <x:v>Not applicable—source is not an NISR publication: Annual disaster effects situation report , MINEMA.</x:v>
      </x:c>
    </x:row>
    <x:row r="10" ht="26.399999618530273" hidden="1" customHeight="1">
      <x:c r="A10" s="8" t="s">
        <x:v>66</x:v>
      </x:c>
      <x:c r="B10" s="8" t="s">
        <x:v>67</x:v>
      </x:c>
      <x:c r="C10" s="8" t="s">
        <x:v>68</x:v>
      </x:c>
      <x:c r="D10" s="8" t="s">
        <x:v>25</x:v>
      </x:c>
      <x:c r="E10" s="8" t="s">
        <x:v>26</x:v>
      </x:c>
      <x:c r="F10" s="8"/>
      <x:c r="G10" s="8" t="s">
        <x:v>25</x:v>
      </x:c>
      <x:c r="H10" s="8" t="s">
        <x:v>27</x:v>
      </x:c>
      <x:c r="I10" s="8"/>
      <x:c r="J10" s="8"/>
      <x:c r="K10" s="8"/>
      <x:c r="L10" s="8" t="s">
        <x:v>25</x:v>
      </x:c>
      <x:c r="M10" s="8"/>
      <x:c r="N10" s="8" t="s">
        <x:v>25</x:v>
      </x:c>
      <x:c r="O10" s="8" t="s">
        <x:v>69</x:v>
      </x:c>
      <x:c r="P10" s="8" t="s">
        <x:v>70</x:v>
      </x:c>
      <x:c r="Q10" s="8"/>
      <x:c r="R10" s="8" t="s">
        <x:v>25</x:v>
      </x:c>
      <x:c r="S10" s="8"/>
      <x:c r="T10" s="8" t="s">
        <x:v>25</x:v>
      </x:c>
      <x:c r="U10" s="8"/>
      <x:c r="V10" s="8"/>
      <x:c r="W10" s="8"/>
      <x:c r="X10" s="8"/>
      <x:c r="Y10" s="8"/>
      <x:c r="Z10" s="8"/>
      <x:c r="AA10" s="8"/>
      <x:c r="AB10" s="8"/>
      <x:c r="AC10" s="8"/>
      <x:c r="AD10" s="8"/>
      <x:c r="AE10" s="8"/>
      <x:c r="AF10" s="8"/>
      <x:c r="AG10" s="8"/>
      <x:c r="AH10" s="8"/>
      <x:c r="AI10" s="8"/>
      <x:c r="AJ10" s="8"/>
      <x:c r="AK10" s="8"/>
      <x:c r="AL10" s="8"/>
      <x:c r="AM10" s="8">
        <x:v>77.3</x:v>
      </x:c>
      <x:c r="AN10" s="8">
        <x:v>96.7</x:v>
      </x:c>
      <x:c r="AO10" s="8">
        <x:v>100</x:v>
      </x:c>
      <x:c r="AP10" s="8">
        <x:v>100</x:v>
      </x:c>
      <x:c r="AQ10" s="8">
        <x:v>100</x:v>
      </x:c>
      <x:c r="AR10" s="8">
        <x:v>100</x:v>
      </x:c>
      <x:c r="AS10" s="8">
        <x:v>100</x:v>
      </x:c>
      <x:c r="AT10" s="8"/>
      <x:c r="AU10" s="8" t="str">
        <x:v>Not applicable—source is not an NISR publication: Ministry in Charge of Emergency Management (MINEMA).</x:v>
      </x:c>
    </x:row>
    <x:row r="11" ht="26.399999618530273" hidden="1" customHeight="1">
      <x:c r="A11" s="8" t="s">
        <x:v>71</x:v>
      </x:c>
      <x:c r="B11" s="8" t="s">
        <x:v>72</x:v>
      </x:c>
      <x:c r="C11" s="8" t="s">
        <x:v>73</x:v>
      </x:c>
      <x:c r="D11" s="8" t="s">
        <x:v>25</x:v>
      </x:c>
      <x:c r="E11" s="8" t="s">
        <x:v>53</x:v>
      </x:c>
      <x:c r="F11" s="8"/>
      <x:c r="G11" s="8" t="s">
        <x:v>25</x:v>
      </x:c>
      <x:c r="H11" s="8" t="s">
        <x:v>27</x:v>
      </x:c>
      <x:c r="I11" s="8"/>
      <x:c r="J11" s="8"/>
      <x:c r="K11" s="8"/>
      <x:c r="L11" s="8" t="s">
        <x:v>25</x:v>
      </x:c>
      <x:c r="M11" s="8"/>
      <x:c r="N11" s="8" t="s">
        <x:v>25</x:v>
      </x:c>
      <x:c r="O11" s="8" t="s">
        <x:v>74</x:v>
      </x:c>
      <x:c r="P11" s="8" t="s">
        <x:v>75</x:v>
      </x:c>
      <x:c r="Q11" s="8"/>
      <x:c r="R11" s="8" t="s">
        <x:v>25</x:v>
      </x:c>
      <x:c r="S11" s="8"/>
      <x:c r="T11" s="8" t="s">
        <x:v>25</x:v>
      </x:c>
      <x:c r="U11" s="8"/>
      <x:c r="V11" s="8"/>
      <x:c r="W11" s="8"/>
      <x:c r="X11" s="8"/>
      <x:c r="Y11" s="8"/>
      <x:c r="Z11" s="8"/>
      <x:c r="AA11" s="8"/>
      <x:c r="AB11" s="8"/>
      <x:c r="AC11" s="8"/>
      <x:c r="AD11" s="8"/>
      <x:c r="AE11" s="8"/>
      <x:c r="AF11" s="8"/>
      <x:c r="AG11" s="8"/>
      <x:c r="AH11" s="8"/>
      <x:c r="AI11" s="8"/>
      <x:c r="AJ11" s="8"/>
      <x:c r="AK11" s="8">
        <x:v>204024372542</x:v>
      </x:c>
      <x:c r="AL11" s="8"/>
      <x:c r="AM11" s="8">
        <x:v>197351473973</x:v>
      </x:c>
      <x:c r="AN11" s="8"/>
      <x:c r="AO11" s="8"/>
      <x:c r="AP11" s="8"/>
      <x:c r="AQ11" s="8"/>
      <x:c r="AR11" s="8">
        <x:v>279077734548</x:v>
      </x:c>
      <x:c r="AS11" s="8"/>
      <x:c r="AT11" s="8"/>
      <x:c r="AU11" s="8" t="str">
        <x:v>Not applicable—source is not an NISR publication: Ministry of Finance and Economic Planning (MINECOFIN).</x:v>
      </x:c>
    </x:row>
    <x:row r="12" ht="26.399999618530273" hidden="1" customHeight="1">
      <x:c r="A12" s="8" t="s">
        <x:v>76</x:v>
      </x:c>
      <x:c r="B12" s="8" t="s">
        <x:v>77</x:v>
      </x:c>
      <x:c r="C12" s="8" t="s">
        <x:v>78</x:v>
      </x:c>
      <x:c r="D12" s="8" t="s">
        <x:v>25</x:v>
      </x:c>
      <x:c r="E12" s="8" t="s">
        <x:v>79</x:v>
      </x:c>
      <x:c r="F12" s="8"/>
      <x:c r="G12" s="8" t="s">
        <x:v>25</x:v>
      </x:c>
      <x:c r="H12" s="8" t="s">
        <x:v>27</x:v>
      </x:c>
      <x:c r="I12" s="8"/>
      <x:c r="J12" s="8"/>
      <x:c r="K12" s="8"/>
      <x:c r="L12" s="8" t="s">
        <x:v>25</x:v>
      </x:c>
      <x:c r="M12" s="8"/>
      <x:c r="N12" s="8" t="s">
        <x:v>25</x:v>
      </x:c>
      <x:c r="O12" s="8" t="s">
        <x:v>74</x:v>
      </x:c>
      <x:c r="P12" s="8" t="s">
        <x:v>80</x:v>
      </x:c>
      <x:c r="Q12" s="8"/>
      <x:c r="R12" s="8" t="s">
        <x:v>25</x:v>
      </x:c>
      <x:c r="S12" s="8"/>
      <x:c r="T12" s="8" t="s">
        <x:v>25</x:v>
      </x:c>
      <x:c r="U12" s="8"/>
      <x:c r="V12" s="8"/>
      <x:c r="W12" s="8"/>
      <x:c r="X12" s="8"/>
      <x:c r="Y12" s="8"/>
      <x:c r="Z12" s="8"/>
      <x:c r="AA12" s="8"/>
      <x:c r="AB12" s="8"/>
      <x:c r="AC12" s="8"/>
      <x:c r="AD12" s="8"/>
      <x:c r="AE12" s="8"/>
      <x:c r="AF12" s="8"/>
      <x:c r="AG12" s="8"/>
      <x:c r="AH12" s="8"/>
      <x:c r="AI12" s="8"/>
      <x:c r="AJ12" s="8"/>
      <x:c r="AK12" s="11">
        <x:v>103794273.852778</x:v>
      </x:c>
      <x:c r="AL12" s="8"/>
      <x:c r="AM12" s="11">
        <x:v>109465948.66826923</x:v>
      </x:c>
      <x:c r="AN12" s="8"/>
      <x:c r="AO12" s="8"/>
      <x:c r="AP12" s="8"/>
      <x:c r="AQ12" s="8"/>
      <x:c r="AR12" s="8"/>
      <x:c r="AS12" s="8"/>
      <x:c r="AT12" s="8"/>
      <x:c r="AU12" s="8" t="str">
        <x:v>Not applicable—source is not an NISR publication: Ministry of Finance and Economic Planning (MINECOFIN).</x:v>
      </x:c>
    </x:row>
    <x:row r="13" ht="26.399999618530273" hidden="0" customHeight="1">
      <x:c r="A13" s="8" t="s">
        <x:v>81</x:v>
      </x:c>
      <x:c r="B13" s="8" t="s">
        <x:v>82</x:v>
      </x:c>
      <x:c r="C13" s="8" t="s">
        <x:v>83</x:v>
      </x:c>
      <x:c r="D13" s="8" t="s">
        <x:v>25</x:v>
      </x:c>
      <x:c r="E13" s="8" t="s">
        <x:v>26</x:v>
      </x:c>
      <x:c r="F13" s="8"/>
      <x:c r="G13" s="8" t="s">
        <x:v>25</x:v>
      </x:c>
      <x:c r="H13" s="8" t="s">
        <x:v>27</x:v>
      </x:c>
      <x:c r="I13" s="8"/>
      <x:c r="J13" s="8"/>
      <x:c r="K13" s="8"/>
      <x:c r="L13" s="8" t="s">
        <x:v>25</x:v>
      </x:c>
      <x:c r="M13" s="8"/>
      <x:c r="N13" s="8" t="s">
        <x:v>25</x:v>
      </x:c>
      <x:c r="O13" s="8" t="s">
        <x:v>84</x:v>
      </x:c>
      <x:c r="P13" s="8" t="s">
        <x:v>85</x:v>
      </x:c>
      <x:c r="Q13" s="8"/>
      <x:c r="R13" s="8" t="s">
        <x:v>25</x:v>
      </x:c>
      <x:c r="S13" s="8"/>
      <x:c r="T13" s="8" t="s">
        <x:v>25</x:v>
      </x:c>
      <x:c r="U13" s="8"/>
      <x:c r="V13" s="8"/>
      <x:c r="W13" s="8"/>
      <x:c r="X13" s="8"/>
      <x:c r="Y13" s="8"/>
      <x:c r="Z13" s="8"/>
      <x:c r="AA13" s="8"/>
      <x:c r="AB13" s="8"/>
      <x:c r="AC13" s="8"/>
      <x:c r="AD13" s="8"/>
      <x:c r="AE13" s="8"/>
      <x:c r="AF13" s="8"/>
      <x:c r="AG13" s="8"/>
      <x:c r="AH13" s="8"/>
      <x:c r="AI13" s="8"/>
      <x:c r="AJ13" s="8"/>
      <x:c r="AK13" s="8"/>
      <x:c r="AL13" s="8"/>
      <x:c r="AM13" s="8">
        <x:v>33</x:v>
      </x:c>
      <x:c r="AN13" s="8">
        <x:v>32</x:v>
      </x:c>
      <x:c r="AO13" s="8">
        <x:v>34</x:v>
      </x:c>
      <x:c r="AP13" s="8">
        <x:v>32</x:v>
      </x:c>
      <x:c r="AQ13" s="8">
        <x:v>32</x:v>
      </x:c>
      <x:c r="AR13" s="8">
        <x:v>29</x:v>
      </x:c>
      <x:c r="AS13" s="8"/>
      <x:c r="AT13" s="8">
        <x:v>31.3</x:v>
      </x:c>
      <x:c r="AU13" s="8" t="str">
        <x:v>Table 14, Prevalence of Undernourishment, p. 20, Rwanda Food Balance Sheets 2023–2024 (2025)</x:v>
      </x:c>
    </x:row>
    <x:row r="14" ht="26.399999618530273" hidden="0" customHeight="1">
      <x:c r="A14" s="8" t="s">
        <x:v>86</x:v>
      </x:c>
      <x:c r="B14" s="8" t="s">
        <x:v>87</x:v>
      </x:c>
      <x:c r="C14" s="8" t="s">
        <x:v>88</x:v>
      </x:c>
      <x:c r="D14" s="8" t="s">
        <x:v>25</x:v>
      </x:c>
      <x:c r="E14" s="8" t="s">
        <x:v>26</x:v>
      </x:c>
      <x:c r="F14" s="8"/>
      <x:c r="G14" s="8" t="s">
        <x:v>25</x:v>
      </x:c>
      <x:c r="H14" s="8" t="s">
        <x:v>27</x:v>
      </x:c>
      <x:c r="I14" s="8"/>
      <x:c r="J14" s="8"/>
      <x:c r="K14" s="8"/>
      <x:c r="L14" s="8" t="s">
        <x:v>25</x:v>
      </x:c>
      <x:c r="M14" s="8"/>
      <x:c r="N14" s="8" t="s">
        <x:v>25</x:v>
      </x:c>
      <x:c r="O14" s="8" t="s">
        <x:v>89</x:v>
      </x:c>
      <x:c r="P14" s="8" t="s">
        <x:v>90</x:v>
      </x:c>
      <x:c r="Q14" s="8"/>
      <x:c r="R14" s="8" t="s">
        <x:v>25</x:v>
      </x:c>
      <x:c r="S14" s="8"/>
      <x:c r="T14" s="8" t="s">
        <x:v>25</x:v>
      </x:c>
      <x:c r="U14" s="8"/>
      <x:c r="V14" s="8"/>
      <x:c r="W14" s="8"/>
      <x:c r="X14" s="8"/>
      <x:c r="Y14" s="8"/>
      <x:c r="Z14" s="8"/>
      <x:c r="AA14" s="8"/>
      <x:c r="AB14" s="8"/>
      <x:c r="AC14" s="8"/>
      <x:c r="AD14" s="8"/>
      <x:c r="AE14" s="8"/>
      <x:c r="AF14" s="8"/>
      <x:c r="AG14" s="8"/>
      <x:c r="AH14" s="8"/>
      <x:c r="AI14" s="8"/>
      <x:c r="AJ14" s="8"/>
      <x:c r="AK14" s="8">
        <x:v>16.8</x:v>
      </x:c>
      <x:c r="AL14" s="8"/>
      <x:c r="AM14" s="8"/>
      <x:c r="AN14" s="11">
        <x:v>17</x:v>
      </x:c>
      <x:c r="AO14" s="8">
        <x:v>18.8</x:v>
      </x:c>
      <x:c r="AP14" s="8">
        <x:v>16.8</x:v>
      </x:c>
      <x:c r="AQ14" s="11">
        <x:v>19</x:v>
      </x:c>
      <x:c r="AR14" s="8"/>
      <x:c r="AS14" s="8"/>
      <x:c r="AT14" s="11">
        <x:v>16</x:v>
      </x:c>
      <x:c r="AU14" s="8" t="str">
        <x:v>Table 9.2, CARI console for 2021 and 2024, p. 81, Rwanda Comprehensive Food Security and Vulnerability Analysis (CFSVA) 2024 (2025)</x:v>
      </x:c>
    </x:row>
    <x:row r="15" ht="39.599998474121094" hidden="0" customHeight="1">
      <x:c r="A15" s="8" t="s">
        <x:v>91</x:v>
      </x:c>
      <x:c r="B15" s="8" t="s">
        <x:v>92</x:v>
      </x:c>
      <x:c r="C15" s="8" t="s">
        <x:v>93</x:v>
      </x:c>
      <x:c r="D15" s="8" t="s">
        <x:v>25</x:v>
      </x:c>
      <x:c r="E15" s="8" t="s">
        <x:v>26</x:v>
      </x:c>
      <x:c r="F15" s="8"/>
      <x:c r="G15" s="8" t="s">
        <x:v>25</x:v>
      </x:c>
      <x:c r="H15" s="8" t="s">
        <x:v>27</x:v>
      </x:c>
      <x:c r="I15" s="8"/>
      <x:c r="J15" s="8"/>
      <x:c r="K15" s="8"/>
      <x:c r="L15" s="8" t="s">
        <x:v>25</x:v>
      </x:c>
      <x:c r="M15" s="8"/>
      <x:c r="N15" s="8" t="s">
        <x:v>25</x:v>
      </x:c>
      <x:c r="O15" s="8" t="s">
        <x:v>94</x:v>
      </x:c>
      <x:c r="P15" s="8" t="s">
        <x:v>95</x:v>
      </x:c>
      <x:c r="Q15" s="8"/>
      <x:c r="R15" s="8" t="s">
        <x:v>25</x:v>
      </x:c>
      <x:c r="S15" s="8"/>
      <x:c r="T15" s="8" t="s">
        <x:v>25</x:v>
      </x:c>
      <x:c r="U15" s="8"/>
      <x:c r="V15" s="8"/>
      <x:c r="W15" s="8"/>
      <x:c r="X15" s="8"/>
      <x:c r="Y15" s="8"/>
      <x:c r="Z15" s="8"/>
      <x:c r="AA15" s="11">
        <x:v>51</x:v>
      </x:c>
      <x:c r="AB15" s="8"/>
      <x:c r="AC15" s="8"/>
      <x:c r="AD15" s="8"/>
      <x:c r="AE15" s="8"/>
      <x:c r="AF15" s="11">
        <x:v>44</x:v>
      </x:c>
      <x:c r="AG15" s="8"/>
      <x:c r="AH15" s="8"/>
      <x:c r="AI15" s="8"/>
      <x:c r="AJ15" s="8"/>
      <x:c r="AK15" s="8">
        <x:v>37.9</x:v>
      </x:c>
      <x:c r="AL15" s="8"/>
      <x:c r="AM15" s="8"/>
      <x:c r="AN15" s="8"/>
      <x:c r="AO15" s="8"/>
      <x:c r="AP15" s="8">
        <x:v>33.1</x:v>
      </x:c>
      <x:c r="AQ15" s="8"/>
      <x:c r="AR15" s="8"/>
      <x:c r="AS15" s="8"/>
      <x:c r="AT15" s="8">
        <x:v>27</x:v>
      </x:c>
      <x:c r="AU15" s="8" t="str">
        <x:v>Figure/Table—nutrition trend, Trends in nutritional status of children, Nutrition chapter, Rwanda DHS 2025 Final Report (2026). Needs review: Dashboard labels the latest period as 2024; confirm whether it should be displayed as 2025 survey year.</x:v>
      </x:c>
    </x:row>
    <x:row r="16" ht="39.599998474121094" hidden="0" customHeight="1">
      <x:c r="A16" s="8" t="s">
        <x:v>96</x:v>
      </x:c>
      <x:c r="B16" s="8" t="s">
        <x:v>97</x:v>
      </x:c>
      <x:c r="C16" s="8" t="s">
        <x:v>98</x:v>
      </x:c>
      <x:c r="D16" s="8" t="s">
        <x:v>25</x:v>
      </x:c>
      <x:c r="E16" s="8" t="s">
        <x:v>26</x:v>
      </x:c>
      <x:c r="F16" s="8"/>
      <x:c r="G16" s="8" t="s">
        <x:v>25</x:v>
      </x:c>
      <x:c r="H16" s="8" t="s">
        <x:v>27</x:v>
      </x:c>
      <x:c r="I16" s="8"/>
      <x:c r="J16" s="8"/>
      <x:c r="K16" s="8"/>
      <x:c r="L16" s="8" t="s">
        <x:v>25</x:v>
      </x:c>
      <x:c r="M16" s="8"/>
      <x:c r="N16" s="8" t="s">
        <x:v>25</x:v>
      </x:c>
      <x:c r="O16" s="8" t="s">
        <x:v>94</x:v>
      </x:c>
      <x:c r="P16" s="8" t="s">
        <x:v>99</x:v>
      </x:c>
      <x:c r="Q16" s="8"/>
      <x:c r="R16" s="8" t="s">
        <x:v>100</x:v>
      </x:c>
      <x:c r="S16" s="8" t="s">
        <x:v>101</x:v>
      </x:c>
      <x:c r="T16" s="8" t="s">
        <x:v>25</x:v>
      </x:c>
      <x:c r="U16" s="8"/>
      <x:c r="V16" s="8"/>
      <x:c r="W16" s="8"/>
      <x:c r="X16" s="8"/>
      <x:c r="Y16" s="8"/>
      <x:c r="Z16" s="8"/>
      <x:c r="AA16" s="11">
        <x:v>5</x:v>
      </x:c>
      <x:c r="AB16" s="8"/>
      <x:c r="AC16" s="8"/>
      <x:c r="AD16" s="8"/>
      <x:c r="AE16" s="8"/>
      <x:c r="AF16" s="11">
        <x:v>3</x:v>
      </x:c>
      <x:c r="AG16" s="8"/>
      <x:c r="AH16" s="8"/>
      <x:c r="AI16" s="8"/>
      <x:c r="AJ16" s="8"/>
      <x:c r="AK16" s="11">
        <x:v>2</x:v>
      </x:c>
      <x:c r="AL16" s="8"/>
      <x:c r="AM16" s="8"/>
      <x:c r="AN16" s="8"/>
      <x:c r="AO16" s="8"/>
      <x:c r="AP16" s="8">
        <x:v>1.1000000000000001</x:v>
      </x:c>
      <x:c r="AQ16" s="8"/>
      <x:c r="AR16" s="8"/>
      <x:c r="AS16" s="8"/>
      <x:c r="AT16" s="11">
        <x:v>5</x:v>
      </x:c>
      <x:c r="AU16" s="8" t="str">
        <x:v>Figure/Table—nutrition trend, Trends in nutritional status of children, Nutrition chapter, Rwanda DHS 2025 Final Report (2026). Needs review: Dashboard labels the latest period as 2024; confirm year convention.</x:v>
      </x:c>
    </x:row>
    <x:row r="17" ht="26.399999618530273" hidden="1" customHeight="1">
      <x:c r="A17" s="8" t="s">
        <x:v>102</x:v>
      </x:c>
      <x:c r="B17" s="8" t="s">
        <x:v>103</x:v>
      </x:c>
      <x:c r="C17" s="8" t="s">
        <x:v>104</x:v>
      </x:c>
      <x:c r="D17" s="8" t="s">
        <x:v>25</x:v>
      </x:c>
      <x:c r="E17" s="8" t="s">
        <x:v>53</x:v>
      </x:c>
      <x:c r="F17" s="8"/>
      <x:c r="G17" s="8" t="s">
        <x:v>25</x:v>
      </x:c>
      <x:c r="H17" s="8" t="s">
        <x:v>27</x:v>
      </x:c>
      <x:c r="I17" s="8"/>
      <x:c r="J17" s="8"/>
      <x:c r="K17" s="8"/>
      <x:c r="L17" s="8" t="s">
        <x:v>25</x:v>
      </x:c>
      <x:c r="M17" s="8"/>
      <x:c r="N17" s="8" t="s">
        <x:v>25</x:v>
      </x:c>
      <x:c r="O17" s="8" t="s">
        <x:v>105</x:v>
      </x:c>
      <x:c r="P17" s="8" t="s">
        <x:v>106</x:v>
      </x:c>
      <x:c r="Q17" s="8"/>
      <x:c r="R17" s="8" t="s">
        <x:v>25</x:v>
      </x:c>
      <x:c r="S17" s="8"/>
      <x:c r="T17" s="8" t="s">
        <x:v>25</x:v>
      </x:c>
      <x:c r="U17" s="8"/>
      <x:c r="V17" s="8"/>
      <x:c r="W17" s="8"/>
      <x:c r="X17" s="8"/>
      <x:c r="Y17" s="8"/>
      <x:c r="Z17" s="8"/>
      <x:c r="AA17" s="8"/>
      <x:c r="AB17" s="8"/>
      <x:c r="AC17" s="8"/>
      <x:c r="AD17" s="8"/>
      <x:c r="AE17" s="8"/>
      <x:c r="AF17" s="8"/>
      <x:c r="AG17" s="8"/>
      <x:c r="AH17" s="8"/>
      <x:c r="AI17" s="8"/>
      <x:c r="AJ17" s="8"/>
      <x:c r="AK17" s="8"/>
      <x:c r="AL17" s="8"/>
      <x:c r="AM17" s="8"/>
      <x:c r="AN17" s="8"/>
      <x:c r="AO17" s="8">
        <x:v>1335</x:v>
      </x:c>
      <x:c r="AP17" s="8">
        <x:v>1363</x:v>
      </x:c>
      <x:c r="AQ17" s="8"/>
      <x:c r="AR17" s="8">
        <x:v>1335</x:v>
      </x:c>
      <x:c r="AS17" s="8"/>
      <x:c r="AT17" s="8"/>
      <x:c r="AU17" s="8" t="str">
        <x:v>Not applicable—source is not an NISR publication: MINAGRI (Rwanda National Gene Bank-RNGB).</x:v>
      </x:c>
    </x:row>
    <x:row r="18" ht="39.599998474121094" hidden="0" customHeight="1">
      <x:c r="A18" s="8" t="s">
        <x:v>107</x:v>
      </x:c>
      <x:c r="B18" s="8" t="s">
        <x:v>108</x:v>
      </x:c>
      <x:c r="C18" s="8" t="s">
        <x:v>109</x:v>
      </x:c>
      <x:c r="D18" s="8" t="s">
        <x:v>25</x:v>
      </x:c>
      <x:c r="E18" s="8" t="s">
        <x:v>110</x:v>
      </x:c>
      <x:c r="F18" s="8"/>
      <x:c r="G18" s="8" t="s">
        <x:v>25</x:v>
      </x:c>
      <x:c r="H18" s="8" t="s">
        <x:v>27</x:v>
      </x:c>
      <x:c r="I18" s="8"/>
      <x:c r="J18" s="8"/>
      <x:c r="K18" s="8"/>
      <x:c r="L18" s="8" t="s">
        <x:v>25</x:v>
      </x:c>
      <x:c r="M18" s="8"/>
      <x:c r="N18" s="8" t="s">
        <x:v>25</x:v>
      </x:c>
      <x:c r="O18" s="8" t="s">
        <x:v>94</x:v>
      </x:c>
      <x:c r="P18" s="8" t="s">
        <x:v>108</x:v>
      </x:c>
      <x:c r="Q18" s="8"/>
      <x:c r="R18" s="8" t="s">
        <x:v>25</x:v>
      </x:c>
      <x:c r="S18" s="8"/>
      <x:c r="T18" s="8" t="s">
        <x:v>25</x:v>
      </x:c>
      <x:c r="U18" s="8"/>
      <x:c r="V18" s="8">
        <x:v>1071</x:v>
      </x:c>
      <x:c r="W18" s="8"/>
      <x:c r="X18" s="8"/>
      <x:c r="Y18" s="8"/>
      <x:c r="Z18" s="8"/>
      <x:c r="AA18" s="8">
        <x:v>750</x:v>
      </x:c>
      <x:c r="AB18" s="8"/>
      <x:c r="AC18" s="8"/>
      <x:c r="AD18" s="8"/>
      <x:c r="AE18" s="8"/>
      <x:c r="AF18" s="8">
        <x:v>476</x:v>
      </x:c>
      <x:c r="AG18" s="8"/>
      <x:c r="AH18" s="8"/>
      <x:c r="AI18" s="8"/>
      <x:c r="AJ18" s="8"/>
      <x:c r="AK18" s="8">
        <x:v>210</x:v>
      </x:c>
      <x:c r="AL18" s="8"/>
      <x:c r="AM18" s="8"/>
      <x:c r="AN18" s="8"/>
      <x:c r="AO18" s="8"/>
      <x:c r="AP18" s="8">
        <x:v>203</x:v>
      </x:c>
      <x:c r="AQ18" s="8"/>
      <x:c r="AR18" s="8"/>
      <x:c r="AS18" s="8"/>
      <x:c r="AT18" s="8">
        <x:v>149</x:v>
      </x:c>
      <x:c r="AU18" s="8" t="str">
        <x:v>Maternal mortality trend, Maternal mortality ratio, Maternal mortality chapter, Rwanda DHS 2025 Final Report (2026). Needs review: Value is a five-year retrospective estimate; confirm dashboard year assignment.</x:v>
      </x:c>
    </x:row>
    <x:row r="19" ht="39.599998474121094" hidden="0" customHeight="1">
      <x:c r="A19" s="8" t="s">
        <x:v>111</x:v>
      </x:c>
      <x:c r="B19" s="8" t="s">
        <x:v>112</x:v>
      </x:c>
      <x:c r="C19" s="8" t="s">
        <x:v>113</x:v>
      </x:c>
      <x:c r="D19" s="8" t="s">
        <x:v>25</x:v>
      </x:c>
      <x:c r="E19" s="8" t="s">
        <x:v>26</x:v>
      </x:c>
      <x:c r="F19" s="8"/>
      <x:c r="G19" s="8" t="s">
        <x:v>25</x:v>
      </x:c>
      <x:c r="H19" s="8" t="s">
        <x:v>27</x:v>
      </x:c>
      <x:c r="I19" s="8"/>
      <x:c r="J19" s="8"/>
      <x:c r="K19" s="8"/>
      <x:c r="L19" s="8" t="s">
        <x:v>25</x:v>
      </x:c>
      <x:c r="M19" s="8"/>
      <x:c r="N19" s="8" t="s">
        <x:v>25</x:v>
      </x:c>
      <x:c r="O19" s="8" t="s">
        <x:v>94</x:v>
      </x:c>
      <x:c r="P19" s="8" t="s">
        <x:v>112</x:v>
      </x:c>
      <x:c r="Q19" s="8"/>
      <x:c r="R19" s="8" t="s">
        <x:v>25</x:v>
      </x:c>
      <x:c r="S19" s="8"/>
      <x:c r="T19" s="8" t="s">
        <x:v>25</x:v>
      </x:c>
      <x:c r="U19" s="8"/>
      <x:c r="V19" s="8"/>
      <x:c r="W19" s="8"/>
      <x:c r="X19" s="8"/>
      <x:c r="Y19" s="8"/>
      <x:c r="Z19" s="8"/>
      <x:c r="AA19" s="8">
        <x:v>38.6</x:v>
      </x:c>
      <x:c r="AB19" s="8"/>
      <x:c r="AC19" s="8"/>
      <x:c r="AD19" s="11">
        <x:v>52</x:v>
      </x:c>
      <x:c r="AE19" s="8"/>
      <x:c r="AF19" s="11">
        <x:v>69</x:v>
      </x:c>
      <x:c r="AG19" s="8"/>
      <x:c r="AH19" s="8"/>
      <x:c r="AI19" s="8"/>
      <x:c r="AJ19" s="8"/>
      <x:c r="AK19" s="11">
        <x:v>91</x:v>
      </x:c>
      <x:c r="AL19" s="8"/>
      <x:c r="AM19" s="8"/>
      <x:c r="AN19" s="8"/>
      <x:c r="AO19" s="8"/>
      <x:c r="AP19" s="8">
        <x:v>94.2</x:v>
      </x:c>
      <x:c r="AQ19" s="8"/>
      <x:c r="AR19" s="8"/>
      <x:c r="AS19" s="8"/>
      <x:c r="AT19" s="11">
        <x:v>98</x:v>
      </x:c>
      <x:c r="AU19" s="8" t="str">
        <x:v>Delivery chart/table, Delivery care, Maternal health chapter, Rwanda DHS 2025 Final Report (2026). Needs review: Confirm exact final-report table number before coding automated extraction.</x:v>
      </x:c>
    </x:row>
    <x:row r="20" ht="39.599998474121094" hidden="0" customHeight="1">
      <x:c r="A20" s="8" t="s">
        <x:v>114</x:v>
      </x:c>
      <x:c r="B20" s="8" t="s">
        <x:v>115</x:v>
      </x:c>
      <x:c r="C20" s="8" t="s">
        <x:v>116</x:v>
      </x:c>
      <x:c r="D20" s="8" t="s">
        <x:v>25</x:v>
      </x:c>
      <x:c r="E20" s="8" t="s">
        <x:v>117</x:v>
      </x:c>
      <x:c r="F20" s="8"/>
      <x:c r="G20" s="8" t="s">
        <x:v>25</x:v>
      </x:c>
      <x:c r="H20" s="8" t="s">
        <x:v>27</x:v>
      </x:c>
      <x:c r="I20" s="8"/>
      <x:c r="J20" s="8"/>
      <x:c r="K20" s="8"/>
      <x:c r="L20" s="8" t="s">
        <x:v>25</x:v>
      </x:c>
      <x:c r="M20" s="8"/>
      <x:c r="N20" s="8" t="s">
        <x:v>25</x:v>
      </x:c>
      <x:c r="O20" s="8" t="s">
        <x:v>94</x:v>
      </x:c>
      <x:c r="P20" s="8" t="s">
        <x:v>115</x:v>
      </x:c>
      <x:c r="Q20" s="8"/>
      <x:c r="R20" s="8" t="s">
        <x:v>100</x:v>
      </x:c>
      <x:c r="S20" s="8" t="s">
        <x:v>101</x:v>
      </x:c>
      <x:c r="T20" s="8" t="s">
        <x:v>25</x:v>
      </x:c>
      <x:c r="U20" s="8"/>
      <x:c r="V20" s="8">
        <x:v>196</x:v>
      </x:c>
      <x:c r="W20" s="8"/>
      <x:c r="X20" s="8"/>
      <x:c r="Y20" s="8"/>
      <x:c r="Z20" s="8"/>
      <x:c r="AA20" s="8">
        <x:v>152</x:v>
      </x:c>
      <x:c r="AB20" s="8"/>
      <x:c r="AC20" s="8"/>
      <x:c r="AD20" s="8">
        <x:v>103</x:v>
      </x:c>
      <x:c r="AE20" s="8"/>
      <x:c r="AF20" s="8">
        <x:v>76</x:v>
      </x:c>
      <x:c r="AG20" s="8"/>
      <x:c r="AH20" s="8"/>
      <x:c r="AI20" s="8"/>
      <x:c r="AJ20" s="8"/>
      <x:c r="AK20" s="8">
        <x:v>50</x:v>
      </x:c>
      <x:c r="AL20" s="8"/>
      <x:c r="AM20" s="8"/>
      <x:c r="AN20" s="8"/>
      <x:c r="AO20" s="8"/>
      <x:c r="AP20" s="8">
        <x:v>45</x:v>
      </x:c>
      <x:c r="AQ20" s="8"/>
      <x:c r="AR20" s="8"/>
      <x:c r="AS20" s="8"/>
      <x:c r="AT20" s="8">
        <x:v>36</x:v>
      </x:c>
      <x:c r="AU20" s="8" t="str">
        <x:v>Childhood mortality rates, Childhood mortality rates, Child mortality chapter, Rwanda DHS 2025 Final Report (2026). Needs review: Five-year retrospective estimate; confirm dashboard year convention.</x:v>
      </x:c>
    </x:row>
    <x:row r="21" ht="39.599998474121094" hidden="0" customHeight="1">
      <x:c r="A21" s="8" t="s">
        <x:v>118</x:v>
      </x:c>
      <x:c r="B21" s="8" t="s">
        <x:v>119</x:v>
      </x:c>
      <x:c r="C21" s="8" t="s">
        <x:v>120</x:v>
      </x:c>
      <x:c r="D21" s="8" t="s">
        <x:v>25</x:v>
      </x:c>
      <x:c r="E21" s="8" t="s">
        <x:v>117</x:v>
      </x:c>
      <x:c r="F21" s="8"/>
      <x:c r="G21" s="8" t="s">
        <x:v>25</x:v>
      </x:c>
      <x:c r="H21" s="8" t="s">
        <x:v>27</x:v>
      </x:c>
      <x:c r="I21" s="8"/>
      <x:c r="J21" s="8"/>
      <x:c r="K21" s="8"/>
      <x:c r="L21" s="8" t="s">
        <x:v>25</x:v>
      </x:c>
      <x:c r="M21" s="8"/>
      <x:c r="N21" s="8" t="s">
        <x:v>25</x:v>
      </x:c>
      <x:c r="O21" s="8" t="s">
        <x:v>94</x:v>
      </x:c>
      <x:c r="P21" s="8" t="s">
        <x:v>119</x:v>
      </x:c>
      <x:c r="Q21" s="8"/>
      <x:c r="R21" s="8" t="s">
        <x:v>121</x:v>
      </x:c>
      <x:c r="S21" s="8" t="s">
        <x:v>122</x:v>
      </x:c>
      <x:c r="T21" s="8" t="s">
        <x:v>25</x:v>
      </x:c>
      <x:c r="U21" s="8"/>
      <x:c r="V21" s="8"/>
      <x:c r="W21" s="8"/>
      <x:c r="X21" s="8"/>
      <x:c r="Y21" s="8"/>
      <x:c r="Z21" s="8"/>
      <x:c r="AA21" s="8">
        <x:v>37</x:v>
      </x:c>
      <x:c r="AB21" s="8"/>
      <x:c r="AC21" s="8"/>
      <x:c r="AD21" s="8">
        <x:v>28</x:v>
      </x:c>
      <x:c r="AE21" s="8"/>
      <x:c r="AF21" s="8">
        <x:v>27</x:v>
      </x:c>
      <x:c r="AG21" s="8"/>
      <x:c r="AH21" s="8"/>
      <x:c r="AI21" s="8"/>
      <x:c r="AJ21" s="8"/>
      <x:c r="AK21" s="8">
        <x:v>20</x:v>
      </x:c>
      <x:c r="AL21" s="8"/>
      <x:c r="AM21" s="8"/>
      <x:c r="AN21" s="8"/>
      <x:c r="AO21" s="8"/>
      <x:c r="AP21" s="8">
        <x:v>19</x:v>
      </x:c>
      <x:c r="AQ21" s="8"/>
      <x:c r="AR21" s="8"/>
      <x:c r="AS21" s="8"/>
      <x:c r="AT21" s="11">
        <x:v>17</x:v>
      </x:c>
      <x:c r="AU21" s="8" t="str">
        <x:v>Childhood mortality rates, Childhood mortality rates, Child mortality chapter, Rwanda DHS 2025 Final Report (2026). Needs review: Five-year retrospective estimate; confirm dashboard year convention.</x:v>
      </x:c>
    </x:row>
    <x:row r="22" ht="26.399999618530273" hidden="1" customHeight="1">
      <x:c r="A22" s="8" t="s">
        <x:v>123</x:v>
      </x:c>
      <x:c r="B22" s="8" t="s">
        <x:v>124</x:v>
      </x:c>
      <x:c r="C22" s="8" t="s">
        <x:v>125</x:v>
      </x:c>
      <x:c r="D22" s="8" t="s">
        <x:v>25</x:v>
      </x:c>
      <x:c r="E22" s="8" t="s">
        <x:v>126</x:v>
      </x:c>
      <x:c r="F22" s="8"/>
      <x:c r="G22" s="8" t="s">
        <x:v>25</x:v>
      </x:c>
      <x:c r="H22" s="8" t="s">
        <x:v>27</x:v>
      </x:c>
      <x:c r="I22" s="8"/>
      <x:c r="J22" s="8"/>
      <x:c r="K22" s="8"/>
      <x:c r="L22" s="8" t="s">
        <x:v>25</x:v>
      </x:c>
      <x:c r="M22" s="8"/>
      <x:c r="N22" s="8" t="s">
        <x:v>25</x:v>
      </x:c>
      <x:c r="O22" s="8" t="s">
        <x:v>127</x:v>
      </x:c>
      <x:c r="P22" s="8" t="s">
        <x:v>128</x:v>
      </x:c>
      <x:c r="Q22" s="8"/>
      <x:c r="R22" s="8" t="s">
        <x:v>25</x:v>
      </x:c>
      <x:c r="S22" s="8"/>
      <x:c r="T22" s="8" t="s">
        <x:v>25</x:v>
      </x:c>
      <x:c r="U22" s="8"/>
      <x:c r="V22" s="8"/>
      <x:c r="W22" s="8"/>
      <x:c r="X22" s="8"/>
      <x:c r="Y22" s="8"/>
      <x:c r="Z22" s="8"/>
      <x:c r="AA22" s="8"/>
      <x:c r="AB22" s="8"/>
      <x:c r="AC22" s="8"/>
      <x:c r="AD22" s="8"/>
      <x:c r="AE22" s="8"/>
      <x:c r="AF22" s="8"/>
      <x:c r="AG22" s="8"/>
      <x:c r="AH22" s="8"/>
      <x:c r="AI22" s="8">
        <x:v>2.7</x:v>
      </x:c>
      <x:c r="AJ22" s="8"/>
      <x:c r="AK22" s="8"/>
      <x:c r="AL22" s="8"/>
      <x:c r="AM22" s="8"/>
      <x:c r="AN22" s="11">
        <x:v>0.08</x:v>
      </x:c>
      <x:c r="AO22" s="8"/>
      <x:c r="AP22" s="8"/>
      <x:c r="AQ22" s="8"/>
      <x:c r="AR22" s="8"/>
      <x:c r="AS22" s="8"/>
      <x:c r="AT22" s="8"/>
      <x:c r="AU22" s="8" t="str">
        <x:v>Not applicable—source is not an NISR publication: Rwanda Population- Based HIV Impact Assessment (RPHIA 2013- 14 ) RPHIA 2018-19.</x:v>
      </x:c>
    </x:row>
    <x:row r="23" ht="26.399999618530273" hidden="1" customHeight="1">
      <x:c r="A23" s="8" t="s">
        <x:v>129</x:v>
      </x:c>
      <x:c r="B23" s="8" t="s">
        <x:v>130</x:v>
      </x:c>
      <x:c r="C23" s="8" t="s">
        <x:v>131</x:v>
      </x:c>
      <x:c r="D23" s="8" t="s">
        <x:v>25</x:v>
      </x:c>
      <x:c r="E23" s="8" t="s">
        <x:v>59</x:v>
      </x:c>
      <x:c r="F23" s="8"/>
      <x:c r="G23" s="8" t="s">
        <x:v>25</x:v>
      </x:c>
      <x:c r="H23" s="8" t="s">
        <x:v>27</x:v>
      </x:c>
      <x:c r="I23" s="8"/>
      <x:c r="J23" s="8"/>
      <x:c r="K23" s="8"/>
      <x:c r="L23" s="8" t="s">
        <x:v>25</x:v>
      </x:c>
      <x:c r="M23" s="8"/>
      <x:c r="N23" s="8" t="s">
        <x:v>25</x:v>
      </x:c>
      <x:c r="O23" s="8" t="s">
        <x:v>132</x:v>
      </x:c>
      <x:c r="P23" s="8" t="s">
        <x:v>133</x:v>
      </x:c>
      <x:c r="Q23" s="8"/>
      <x:c r="R23" s="8" t="s">
        <x:v>25</x:v>
      </x:c>
      <x:c r="S23" s="8"/>
      <x:c r="T23" s="8" t="s">
        <x:v>25</x:v>
      </x:c>
      <x:c r="U23" s="8"/>
      <x:c r="V23" s="8"/>
      <x:c r="W23" s="8"/>
      <x:c r="X23" s="8"/>
      <x:c r="Y23" s="8"/>
      <x:c r="Z23" s="8"/>
      <x:c r="AA23" s="8"/>
      <x:c r="AB23" s="8"/>
      <x:c r="AC23" s="8"/>
      <x:c r="AD23" s="8">
        <x:v>98</x:v>
      </x:c>
      <x:c r="AE23" s="8"/>
      <x:c r="AF23" s="8"/>
      <x:c r="AG23" s="8"/>
      <x:c r="AH23" s="8">
        <x:v>86</x:v>
      </x:c>
      <x:c r="AI23" s="8"/>
      <x:c r="AJ23" s="8"/>
      <x:c r="AK23" s="8">
        <x:v>56</x:v>
      </x:c>
      <x:c r="AL23" s="8"/>
      <x:c r="AM23" s="8">
        <x:v>50</x:v>
      </x:c>
      <x:c r="AN23" s="8">
        <x:v>58</x:v>
      </x:c>
      <x:c r="AO23" s="8"/>
      <x:c r="AP23" s="8">
        <x:v>58</x:v>
      </x:c>
      <x:c r="AQ23" s="8"/>
      <x:c r="AR23" s="8">
        <x:v>57</x:v>
      </x:c>
      <x:c r="AS23" s="8"/>
      <x:c r="AT23" s="8"/>
      <x:c r="AU23" s="8" t="str">
        <x:v>Not applicable—source is not an NISR publication: RBC, (WHO Global TB Report 2017), Health sector FY 2021/2022 backward looking joint sector review report.</x:v>
      </x:c>
    </x:row>
    <x:row r="24" ht="26.399999618530273" hidden="1" customHeight="1">
      <x:c r="A24" s="8" t="s">
        <x:v>134</x:v>
      </x:c>
      <x:c r="B24" s="8" t="s">
        <x:v>135</x:v>
      </x:c>
      <x:c r="C24" s="8" t="s">
        <x:v>136</x:v>
      </x:c>
      <x:c r="D24" s="8" t="s">
        <x:v>25</x:v>
      </x:c>
      <x:c r="E24" s="8" t="s">
        <x:v>137</x:v>
      </x:c>
      <x:c r="F24" s="8"/>
      <x:c r="G24" s="8" t="s">
        <x:v>25</x:v>
      </x:c>
      <x:c r="H24" s="8" t="s">
        <x:v>27</x:v>
      </x:c>
      <x:c r="I24" s="8"/>
      <x:c r="J24" s="8"/>
      <x:c r="K24" s="8"/>
      <x:c r="L24" s="8" t="s">
        <x:v>25</x:v>
      </x:c>
      <x:c r="M24" s="8"/>
      <x:c r="N24" s="8" t="s">
        <x:v>25</x:v>
      </x:c>
      <x:c r="O24" s="8" t="s">
        <x:v>138</x:v>
      </x:c>
      <x:c r="P24" s="8" t="s">
        <x:v>139</x:v>
      </x:c>
      <x:c r="Q24" s="8"/>
      <x:c r="R24" s="8" t="s">
        <x:v>25</x:v>
      </x:c>
      <x:c r="S24" s="8"/>
      <x:c r="T24" s="8" t="s">
        <x:v>25</x:v>
      </x:c>
      <x:c r="U24" s="8"/>
      <x:c r="V24" s="8"/>
      <x:c r="W24" s="8"/>
      <x:c r="X24" s="8"/>
      <x:c r="Y24" s="8"/>
      <x:c r="Z24" s="8"/>
      <x:c r="AA24" s="8"/>
      <x:c r="AB24" s="8"/>
      <x:c r="AC24" s="8"/>
      <x:c r="AD24" s="8"/>
      <x:c r="AE24" s="8"/>
      <x:c r="AF24" s="8"/>
      <x:c r="AG24" s="8"/>
      <x:c r="AH24" s="8"/>
      <x:c r="AI24" s="8"/>
      <x:c r="AJ24" s="8"/>
      <x:c r="AK24" s="8">
        <x:v>308</x:v>
      </x:c>
      <x:c r="AL24" s="8"/>
      <x:c r="AM24" s="8"/>
      <x:c r="AN24" s="8"/>
      <x:c r="AO24" s="8"/>
      <x:c r="AP24" s="8"/>
      <x:c r="AQ24" s="8">
        <x:v>114</x:v>
      </x:c>
      <x:c r="AR24" s="8">
        <x:v>76</x:v>
      </x:c>
      <x:c r="AS24" s="8">
        <x:v>47</x:v>
      </x:c>
      <x:c r="AT24" s="8">
        <x:v>45</x:v>
      </x:c>
      <x:c r="AU24" s="8" t="str">
        <x:v>Not applicable—source is not an NISR publication: HMIS, Rwanda Biomedical Centre (RBC), MoH Annual performance report 2022 (Malaria report ).</x:v>
      </x:c>
    </x:row>
    <x:row r="25" ht="14.399999618530273" hidden="1" customHeight="1">
      <x:c r="A25" s="8" t="s">
        <x:v>140</x:v>
      </x:c>
      <x:c r="B25" s="8" t="s">
        <x:v>141</x:v>
      </x:c>
      <x:c r="C25" s="8" t="s">
        <x:v>142</x:v>
      </x:c>
      <x:c r="D25" s="8" t="s">
        <x:v>25</x:v>
      </x:c>
      <x:c r="E25" s="8" t="s">
        <x:v>53</x:v>
      </x:c>
      <x:c r="F25" s="8"/>
      <x:c r="G25" s="8" t="s">
        <x:v>25</x:v>
      </x:c>
      <x:c r="H25" s="8" t="s">
        <x:v>27</x:v>
      </x:c>
      <x:c r="I25" s="8"/>
      <x:c r="J25" s="8"/>
      <x:c r="K25" s="8"/>
      <x:c r="L25" s="8" t="s">
        <x:v>25</x:v>
      </x:c>
      <x:c r="M25" s="8"/>
      <x:c r="N25" s="8" t="s">
        <x:v>25</x:v>
      </x:c>
      <x:c r="O25" s="8" t="s">
        <x:v>143</x:v>
      </x:c>
      <x:c r="P25" s="8" t="s">
        <x:v>141</x:v>
      </x:c>
      <x:c r="Q25" s="8"/>
      <x:c r="R25" s="8" t="s">
        <x:v>25</x:v>
      </x:c>
      <x:c r="S25" s="8"/>
      <x:c r="T25" s="8" t="s">
        <x:v>25</x:v>
      </x:c>
      <x:c r="U25" s="8"/>
      <x:c r="V25" s="8"/>
      <x:c r="W25" s="8"/>
      <x:c r="X25" s="8"/>
      <x:c r="Y25" s="8"/>
      <x:c r="Z25" s="8"/>
      <x:c r="AA25" s="8"/>
      <x:c r="AB25" s="8"/>
      <x:c r="AC25" s="8"/>
      <x:c r="AD25" s="8"/>
      <x:c r="AE25" s="8"/>
      <x:c r="AF25" s="8"/>
      <x:c r="AG25" s="8"/>
      <x:c r="AH25" s="8"/>
      <x:c r="AI25" s="8"/>
      <x:c r="AJ25" s="8"/>
      <x:c r="AK25" s="8"/>
      <x:c r="AL25" s="8">
        <x:v>4815291</x:v>
      </x:c>
      <x:c r="AM25" s="8"/>
      <x:c r="AN25" s="8"/>
      <x:c r="AO25" s="8"/>
      <x:c r="AP25" s="8"/>
      <x:c r="AQ25" s="8">
        <x:v>4935596</x:v>
      </x:c>
      <x:c r="AR25" s="8">
        <x:v>11532788</x:v>
      </x:c>
      <x:c r="AS25" s="8"/>
      <x:c r="AT25" s="8"/>
      <x:c r="AU25" s="8" t="str">
        <x:v>Not applicable—source is not an NISR publication: RBC , NTD report.</x:v>
      </x:c>
    </x:row>
    <x:row r="26" ht="14.399999618530273" hidden="1" customHeight="1">
      <x:c r="A26" s="8" t="s">
        <x:v>144</x:v>
      </x:c>
      <x:c r="B26" s="8" t="s">
        <x:v>145</x:v>
      </x:c>
      <x:c r="C26" s="8" t="s">
        <x:v>146</x:v>
      </x:c>
      <x:c r="D26" s="8" t="s">
        <x:v>25</x:v>
      </x:c>
      <x:c r="E26" s="8" t="s">
        <x:v>59</x:v>
      </x:c>
      <x:c r="F26" s="8"/>
      <x:c r="G26" s="8" t="s">
        <x:v>25</x:v>
      </x:c>
      <x:c r="H26" s="8" t="s">
        <x:v>27</x:v>
      </x:c>
      <x:c r="I26" s="8"/>
      <x:c r="J26" s="8"/>
      <x:c r="K26" s="8"/>
      <x:c r="L26" s="8" t="s">
        <x:v>25</x:v>
      </x:c>
      <x:c r="M26" s="8"/>
      <x:c r="N26" s="8" t="s">
        <x:v>25</x:v>
      </x:c>
      <x:c r="O26" s="8" t="s">
        <x:v>147</x:v>
      </x:c>
      <x:c r="P26" s="8" t="s">
        <x:v>145</x:v>
      </x:c>
      <x:c r="Q26" s="8"/>
      <x:c r="R26" s="8" t="s">
        <x:v>25</x:v>
      </x:c>
      <x:c r="S26" s="8"/>
      <x:c r="T26" s="8" t="s">
        <x:v>25</x:v>
      </x:c>
      <x:c r="U26" s="8"/>
      <x:c r="V26" s="8"/>
      <x:c r="W26" s="8"/>
      <x:c r="X26" s="8"/>
      <x:c r="Y26" s="8"/>
      <x:c r="Z26" s="8"/>
      <x:c r="AA26" s="8"/>
      <x:c r="AB26" s="8"/>
      <x:c r="AC26" s="8"/>
      <x:c r="AD26" s="8"/>
      <x:c r="AE26" s="8"/>
      <x:c r="AF26" s="8"/>
      <x:c r="AG26" s="8"/>
      <x:c r="AH26" s="8"/>
      <x:c r="AI26" s="8"/>
      <x:c r="AJ26" s="8"/>
      <x:c r="AK26" s="11">
        <x:v>1.39</x:v>
      </x:c>
      <x:c r="AL26" s="11">
        <x:v>1.56</x:v>
      </x:c>
      <x:c r="AM26" s="11">
        <x:v>1.63</x:v>
      </x:c>
      <x:c r="AN26" s="8">
        <x:v>1.8</x:v>
      </x:c>
      <x:c r="AO26" s="11">
        <x:v>1.93</x:v>
      </x:c>
      <x:c r="AP26" s="8">
        <x:v>2.2999999999999998</x:v>
      </x:c>
      <x:c r="AQ26" s="11">
        <x:v>2.66</x:v>
      </x:c>
      <x:c r="AR26" s="8">
        <x:v>2.8</x:v>
      </x:c>
      <x:c r="AS26" s="8"/>
      <x:c r="AT26" s="8"/>
      <x:c r="AU26" s="8" t="str">
        <x:v>Not applicable—source is not an NISR publication: RIB.</x:v>
      </x:c>
    </x:row>
    <x:row r="27" ht="14.399999618530273" hidden="1" customHeight="1">
      <x:c r="A27" s="8" t="s">
        <x:v>148</x:v>
      </x:c>
      <x:c r="B27" s="8" t="s">
        <x:v>149</x:v>
      </x:c>
      <x:c r="C27" s="8" t="s">
        <x:v>150</x:v>
      </x:c>
      <x:c r="D27" s="8" t="s">
        <x:v>25</x:v>
      </x:c>
      <x:c r="E27" s="8" t="s">
        <x:v>26</x:v>
      </x:c>
      <x:c r="F27" s="8"/>
      <x:c r="G27" s="8" t="s">
        <x:v>25</x:v>
      </x:c>
      <x:c r="H27" s="8" t="s">
        <x:v>27</x:v>
      </x:c>
      <x:c r="I27" s="8"/>
      <x:c r="J27" s="8"/>
      <x:c r="K27" s="8"/>
      <x:c r="L27" s="8" t="s">
        <x:v>25</x:v>
      </x:c>
      <x:c r="M27" s="8"/>
      <x:c r="N27" s="8" t="s">
        <x:v>25</x:v>
      </x:c>
      <x:c r="O27" s="8" t="s">
        <x:v>151</x:v>
      </x:c>
      <x:c r="P27" s="8" t="s">
        <x:v>152</x:v>
      </x:c>
      <x:c r="Q27" s="8"/>
      <x:c r="R27" s="8" t="s">
        <x:v>25</x:v>
      </x:c>
      <x:c r="S27" s="8"/>
      <x:c r="T27" s="8" t="s">
        <x:v>25</x:v>
      </x:c>
      <x:c r="U27" s="8"/>
      <x:c r="V27" s="8"/>
      <x:c r="W27" s="8"/>
      <x:c r="X27" s="8"/>
      <x:c r="Y27" s="8"/>
      <x:c r="Z27" s="8"/>
      <x:c r="AA27" s="8"/>
      <x:c r="AB27" s="8"/>
      <x:c r="AC27" s="8"/>
      <x:c r="AD27" s="8"/>
      <x:c r="AE27" s="8"/>
      <x:c r="AF27" s="8"/>
      <x:c r="AG27" s="8"/>
      <x:c r="AH27" s="8">
        <x:v>23.5</x:v>
      </x:c>
      <x:c r="AI27" s="8"/>
      <x:c r="AJ27" s="8"/>
      <x:c r="AK27" s="8"/>
      <x:c r="AL27" s="8"/>
      <x:c r="AM27" s="8"/>
      <x:c r="AN27" s="8"/>
      <x:c r="AO27" s="8"/>
      <x:c r="AP27" s="8"/>
      <x:c r="AQ27" s="8"/>
      <x:c r="AR27" s="8">
        <x:v>15.2</x:v>
      </x:c>
      <x:c r="AS27" s="8"/>
      <x:c r="AT27" s="8"/>
      <x:c r="AU27" s="8" t="str">
        <x:v>Not applicable—source is not an NISR publication: MoH, Steps Survey.</x:v>
      </x:c>
    </x:row>
    <x:row r="28" ht="26.399999618530273" hidden="0" customHeight="1">
      <x:c r="A28" s="8" t="s">
        <x:v>153</x:v>
      </x:c>
      <x:c r="B28" s="8" t="s">
        <x:v>154</x:v>
      </x:c>
      <x:c r="C28" s="8" t="s">
        <x:v>155</x:v>
      </x:c>
      <x:c r="D28" s="8" t="s">
        <x:v>25</x:v>
      </x:c>
      <x:c r="E28" s="8" t="s">
        <x:v>59</x:v>
      </x:c>
      <x:c r="F28" s="8"/>
      <x:c r="G28" s="8" t="s">
        <x:v>25</x:v>
      </x:c>
      <x:c r="H28" s="8" t="s">
        <x:v>27</x:v>
      </x:c>
      <x:c r="I28" s="8"/>
      <x:c r="J28" s="8"/>
      <x:c r="K28" s="8"/>
      <x:c r="L28" s="8" t="s">
        <x:v>25</x:v>
      </x:c>
      <x:c r="M28" s="8"/>
      <x:c r="N28" s="8" t="s">
        <x:v>25</x:v>
      </x:c>
      <x:c r="O28" s="8" t="s">
        <x:v>156</x:v>
      </x:c>
      <x:c r="P28" s="8" t="s">
        <x:v>154</x:v>
      </x:c>
      <x:c r="Q28" s="8"/>
      <x:c r="R28" s="8" t="s">
        <x:v>25</x:v>
      </x:c>
      <x:c r="S28" s="8"/>
      <x:c r="T28" s="8" t="s">
        <x:v>25</x:v>
      </x:c>
      <x:c r="U28" s="8"/>
      <x:c r="V28" s="8"/>
      <x:c r="W28" s="8"/>
      <x:c r="X28" s="8"/>
      <x:c r="Y28" s="8"/>
      <x:c r="Z28" s="8"/>
      <x:c r="AA28" s="8"/>
      <x:c r="AB28" s="8"/>
      <x:c r="AC28" s="8"/>
      <x:c r="AD28" s="8"/>
      <x:c r="AE28" s="8"/>
      <x:c r="AF28" s="8"/>
      <x:c r="AG28" s="8"/>
      <x:c r="AH28" s="8"/>
      <x:c r="AI28" s="8">
        <x:v>2.9</x:v>
      </x:c>
      <x:c r="AJ28" s="8">
        <x:v>3.3</x:v>
      </x:c>
      <x:c r="AK28" s="8">
        <x:v>5.2</x:v>
      </x:c>
      <x:c r="AL28" s="8">
        <x:v>5.0999999999999996</x:v>
      </x:c>
      <x:c r="AM28" s="8">
        <x:v>4.5999999999999996</x:v>
      </x:c>
      <x:c r="AN28" s="8">
        <x:v>4.9000000000000004</x:v>
      </x:c>
      <x:c r="AO28" s="8">
        <x:v>5.4</x:v>
      </x:c>
      <x:c r="AP28" s="8">
        <x:v>5.2</x:v>
      </x:c>
      <x:c r="AQ28" s="11">
        <x:v>4.87</x:v>
      </x:c>
      <x:c r="AR28" s="11">
        <x:v>5.99</x:v>
      </x:c>
      <x:c r="AS28" s="8">
        <x:v>5.9</x:v>
      </x:c>
      <x:c r="AT28" s="8">
        <x:v>5.5</x:v>
      </x:c>
      <x:c r="AU28" s="8" t="str">
        <x:v>Table 14.2.8, Death’s rate due to road traffic injuries, p. 148, Rwanda Statistical Yearbook 2024 (2024)</x:v>
      </x:c>
    </x:row>
    <x:row r="29" ht="39.599998474121094" hidden="0" customHeight="1">
      <x:c r="A29" s="8" t="s">
        <x:v>157</x:v>
      </x:c>
      <x:c r="B29" s="8" t="s">
        <x:v>158</x:v>
      </x:c>
      <x:c r="C29" s="8" t="s">
        <x:v>159</x:v>
      </x:c>
      <x:c r="D29" s="8" t="s">
        <x:v>25</x:v>
      </x:c>
      <x:c r="E29" s="8" t="s">
        <x:v>26</x:v>
      </x:c>
      <x:c r="F29" s="8"/>
      <x:c r="G29" s="8" t="s">
        <x:v>25</x:v>
      </x:c>
      <x:c r="H29" s="8" t="s">
        <x:v>27</x:v>
      </x:c>
      <x:c r="I29" s="8"/>
      <x:c r="J29" s="8"/>
      <x:c r="K29" s="8"/>
      <x:c r="L29" s="8" t="s">
        <x:v>25</x:v>
      </x:c>
      <x:c r="M29" s="8"/>
      <x:c r="N29" s="8" t="s">
        <x:v>25</x:v>
      </x:c>
      <x:c r="O29" s="8" t="s">
        <x:v>94</x:v>
      </x:c>
      <x:c r="P29" s="8" t="s">
        <x:v>160</x:v>
      </x:c>
      <x:c r="Q29" s="8"/>
      <x:c r="R29" s="8" t="s">
        <x:v>161</x:v>
      </x:c>
      <x:c r="S29" s="8" t="s">
        <x:v>162</x:v>
      </x:c>
      <x:c r="T29" s="8" t="s">
        <x:v>163</x:v>
      </x:c>
      <x:c r="U29" s="8" t="s">
        <x:v>164</x:v>
      </x:c>
      <x:c r="V29" s="8"/>
      <x:c r="W29" s="8"/>
      <x:c r="X29" s="8"/>
      <x:c r="Y29" s="8"/>
      <x:c r="Z29" s="8"/>
      <x:c r="AA29" s="8"/>
      <x:c r="AB29" s="8"/>
      <x:c r="AC29" s="8"/>
      <x:c r="AD29" s="8"/>
      <x:c r="AE29" s="8"/>
      <x:c r="AF29" s="11">
        <x:v>62</x:v>
      </x:c>
      <x:c r="AG29" s="8"/>
      <x:c r="AH29" s="8"/>
      <x:c r="AI29" s="8"/>
      <x:c r="AJ29" s="8"/>
      <x:c r="AK29" s="11">
        <x:v>66</x:v>
      </x:c>
      <x:c r="AL29" s="8"/>
      <x:c r="AM29" s="8"/>
      <x:c r="AN29" s="8"/>
      <x:c r="AO29" s="8"/>
      <x:c r="AP29" s="8">
        <x:v>73.7</x:v>
      </x:c>
      <x:c r="AQ29" s="8"/>
      <x:c r="AR29" s="8"/>
      <x:c r="AS29" s="8"/>
      <x:c r="AT29" s="11">
        <x:v>64</x:v>
      </x:c>
      <x:c r="AU29" s="8" t="str">
        <x:v>Demand satisfied chart/table, Use, need and demand for family planning, Family planning chapter, Rwanda DHS 2025 Final Report (2026). Needs review: Confirm whether dashboard uses all women or women in marital union.</x:v>
      </x:c>
    </x:row>
    <x:row r="30" ht="39.599998474121094" hidden="0" customHeight="1">
      <x:c r="A30" s="8" t="s">
        <x:v>165</x:v>
      </x:c>
      <x:c r="B30" s="8" t="s">
        <x:v>166</x:v>
      </x:c>
      <x:c r="C30" s="8" t="s">
        <x:v>167</x:v>
      </x:c>
      <x:c r="D30" s="8" t="s">
        <x:v>25</x:v>
      </x:c>
      <x:c r="E30" s="8" t="s">
        <x:v>137</x:v>
      </x:c>
      <x:c r="F30" s="8"/>
      <x:c r="G30" s="8" t="s">
        <x:v>25</x:v>
      </x:c>
      <x:c r="H30" s="8" t="s">
        <x:v>27</x:v>
      </x:c>
      <x:c r="I30" s="8"/>
      <x:c r="J30" s="8"/>
      <x:c r="K30" s="8"/>
      <x:c r="L30" s="8" t="s">
        <x:v>25</x:v>
      </x:c>
      <x:c r="M30" s="8"/>
      <x:c r="N30" s="8" t="s">
        <x:v>25</x:v>
      </x:c>
      <x:c r="O30" s="8" t="s">
        <x:v>94</x:v>
      </x:c>
      <x:c r="P30" s="8" t="s">
        <x:v>168</x:v>
      </x:c>
      <x:c r="Q30" s="8"/>
      <x:c r="R30" s="8" t="s">
        <x:v>169</x:v>
      </x:c>
      <x:c r="S30" s="8" t="s">
        <x:v>170</x:v>
      </x:c>
      <x:c r="T30" s="8" t="s">
        <x:v>163</x:v>
      </x:c>
      <x:c r="U30" s="8" t="s">
        <x:v>164</x:v>
      </x:c>
      <x:c r="V30" s="8"/>
      <x:c r="W30" s="8"/>
      <x:c r="X30" s="8"/>
      <x:c r="Y30" s="8"/>
      <x:c r="Z30" s="8"/>
      <x:c r="AA30" s="8"/>
      <x:c r="AB30" s="8"/>
      <x:c r="AC30" s="8"/>
      <x:c r="AD30" s="8"/>
      <x:c r="AE30" s="8"/>
      <x:c r="AF30" s="8"/>
      <x:c r="AG30" s="8"/>
      <x:c r="AH30" s="8"/>
      <x:c r="AI30" s="8"/>
      <x:c r="AJ30" s="8"/>
      <x:c r="AK30" s="11">
        <x:v>7</x:v>
      </x:c>
      <x:c r="AL30" s="8"/>
      <x:c r="AM30" s="8"/>
      <x:c r="AN30" s="8"/>
      <x:c r="AO30" s="8"/>
      <x:c r="AP30" s="8">
        <x:v>31.8</x:v>
      </x:c>
      <x:c r="AQ30" s="8"/>
      <x:c r="AR30" s="8"/>
      <x:c r="AS30" s="8"/>
      <x:c r="AT30" s="8">
        <x:v>8</x:v>
      </x:c>
      <x:c r="AU30" s="8" t="str">
        <x:v>Teenage pregnancy trend, Teenage pregnancy, Fertility chapter, Rwanda DHS 2025 Final Report (2026). Needs review: Dashboard description says birth rate per 1,000 but stored value is a percentage ever pregnant; proxy definition must be approved.</x:v>
      </x:c>
    </x:row>
    <x:row r="31" ht="26.399999618530273" hidden="1" customHeight="1">
      <x:c r="A31" s="8" t="s">
        <x:v>171</x:v>
      </x:c>
      <x:c r="B31" s="8" t="s">
        <x:v>172</x:v>
      </x:c>
      <x:c r="C31" s="8" t="s">
        <x:v>173</x:v>
      </x:c>
      <x:c r="D31" s="8" t="s">
        <x:v>25</x:v>
      </x:c>
      <x:c r="E31" s="8" t="s">
        <x:v>26</x:v>
      </x:c>
      <x:c r="F31" s="8"/>
      <x:c r="G31" s="8" t="s">
        <x:v>25</x:v>
      </x:c>
      <x:c r="H31" s="8" t="s">
        <x:v>27</x:v>
      </x:c>
      <x:c r="I31" s="8"/>
      <x:c r="J31" s="8"/>
      <x:c r="K31" s="8"/>
      <x:c r="L31" s="8" t="s">
        <x:v>25</x:v>
      </x:c>
      <x:c r="M31" s="8"/>
      <x:c r="N31" s="8" t="s">
        <x:v>25</x:v>
      </x:c>
      <x:c r="O31" s="8" t="s">
        <x:v>174</x:v>
      </x:c>
      <x:c r="P31" s="8" t="s">
        <x:v>175</x:v>
      </x:c>
      <x:c r="Q31" s="8"/>
      <x:c r="R31" s="8" t="s">
        <x:v>25</x:v>
      </x:c>
      <x:c r="S31" s="8"/>
      <x:c r="T31" s="8" t="s">
        <x:v>25</x:v>
      </x:c>
      <x:c r="U31" s="8"/>
      <x:c r="V31" s="8"/>
      <x:c r="W31" s="8"/>
      <x:c r="X31" s="8"/>
      <x:c r="Y31" s="8"/>
      <x:c r="Z31" s="8"/>
      <x:c r="AA31" s="8"/>
      <x:c r="AB31" s="8"/>
      <x:c r="AC31" s="8"/>
      <x:c r="AD31" s="8"/>
      <x:c r="AE31" s="8"/>
      <x:c r="AF31" s="8">
        <x:v>45.3</x:v>
      </x:c>
      <x:c r="AG31" s="8"/>
      <x:c r="AH31" s="8"/>
      <x:c r="AI31" s="8"/>
      <x:c r="AJ31" s="8"/>
      <x:c r="AK31" s="8">
        <x:v>53.1</x:v>
      </x:c>
      <x:c r="AL31" s="8"/>
      <x:c r="AM31" s="8"/>
      <x:c r="AN31" s="8"/>
      <x:c r="AO31" s="8"/>
      <x:c r="AP31" s="8">
        <x:v>53.7</x:v>
      </x:c>
      <x:c r="AQ31" s="8"/>
      <x:c r="AR31" s="8"/>
      <x:c r="AS31" s="8"/>
      <x:c r="AT31" s="8"/>
      <x:c r="AU31" s="8" t="str">
        <x:v>NISR-related source stated as “DHS/STEPS/Census/HMIS”; exact report/table/page not verified. Needs review—no reference has been invented.</x:v>
      </x:c>
    </x:row>
    <x:row r="32" ht="26.399999618530273" hidden="1" customHeight="1">
      <x:c r="A32" s="8" t="s">
        <x:v>176</x:v>
      </x:c>
      <x:c r="B32" s="8" t="s">
        <x:v>177</x:v>
      </x:c>
      <x:c r="C32" s="8" t="s">
        <x:v>178</x:v>
      </x:c>
      <x:c r="D32" s="8" t="s">
        <x:v>25</x:v>
      </x:c>
      <x:c r="E32" s="8" t="s">
        <x:v>26</x:v>
      </x:c>
      <x:c r="F32" s="8"/>
      <x:c r="G32" s="8" t="s">
        <x:v>25</x:v>
      </x:c>
      <x:c r="H32" s="8" t="s">
        <x:v>27</x:v>
      </x:c>
      <x:c r="I32" s="8"/>
      <x:c r="J32" s="8"/>
      <x:c r="K32" s="8"/>
      <x:c r="L32" s="8" t="s">
        <x:v>25</x:v>
      </x:c>
      <x:c r="M32" s="8"/>
      <x:c r="N32" s="8" t="s">
        <x:v>25</x:v>
      </x:c>
      <x:c r="O32" s="8" t="s">
        <x:v>179</x:v>
      </x:c>
      <x:c r="P32" s="8" t="s">
        <x:v>180</x:v>
      </x:c>
      <x:c r="Q32" s="8"/>
      <x:c r="R32" s="8" t="s">
        <x:v>25</x:v>
      </x:c>
      <x:c r="S32" s="8"/>
      <x:c r="T32" s="8" t="s">
        <x:v>25</x:v>
      </x:c>
      <x:c r="U32" s="8"/>
      <x:c r="V32" s="8"/>
      <x:c r="W32" s="8"/>
      <x:c r="X32" s="8"/>
      <x:c r="Y32" s="8"/>
      <x:c r="Z32" s="8"/>
      <x:c r="AA32" s="8"/>
      <x:c r="AB32" s="8"/>
      <x:c r="AC32" s="8"/>
      <x:c r="AD32" s="8"/>
      <x:c r="AE32" s="8"/>
      <x:c r="AF32" s="8"/>
      <x:c r="AG32" s="8"/>
      <x:c r="AH32" s="8"/>
      <x:c r="AI32" s="8"/>
      <x:c r="AJ32" s="8">
        <x:v>5.0999999999999996</x:v>
      </x:c>
      <x:c r="AK32" s="8"/>
      <x:c r="AL32" s="8"/>
      <x:c r="AM32" s="11">
        <x:v>4.83</x:v>
      </x:c>
      <x:c r="AN32" s="8"/>
      <x:c r="AO32" s="8"/>
      <x:c r="AP32" s="8"/>
      <x:c r="AQ32" s="8"/>
      <x:c r="AR32" s="8"/>
      <x:c r="AS32" s="8"/>
      <x:c r="AT32" s="8"/>
      <x:c r="AU32" s="8" t="str">
        <x:v>Not applicable—source is not an NISR publication: HMIS (Health sector annual report 2020/21).</x:v>
      </x:c>
    </x:row>
    <x:row r="33" ht="26.399999618530273" hidden="0" customHeight="1">
      <x:c r="A33" s="8" t="s">
        <x:v>181</x:v>
      </x:c>
      <x:c r="B33" s="8" t="s">
        <x:v>182</x:v>
      </x:c>
      <x:c r="C33" s="8" t="s">
        <x:v>183</x:v>
      </x:c>
      <x:c r="D33" s="8" t="s">
        <x:v>25</x:v>
      </x:c>
      <x:c r="E33" s="8" t="s">
        <x:v>26</x:v>
      </x:c>
      <x:c r="F33" s="8"/>
      <x:c r="G33" s="8" t="s">
        <x:v>25</x:v>
      </x:c>
      <x:c r="H33" s="8" t="s">
        <x:v>27</x:v>
      </x:c>
      <x:c r="I33" s="8"/>
      <x:c r="J33" s="8"/>
      <x:c r="K33" s="8"/>
      <x:c r="L33" s="8" t="s">
        <x:v>25</x:v>
      </x:c>
      <x:c r="M33" s="8"/>
      <x:c r="N33" s="8" t="s">
        <x:v>25</x:v>
      </x:c>
      <x:c r="O33" s="8" t="s">
        <x:v>94</x:v>
      </x:c>
      <x:c r="P33" s="8" t="s">
        <x:v>184</x:v>
      </x:c>
      <x:c r="Q33" s="8"/>
      <x:c r="R33" s="8" t="s">
        <x:v>185</x:v>
      </x:c>
      <x:c r="S33" s="8" t="s">
        <x:v>186</x:v>
      </x:c>
      <x:c r="T33" s="8" t="s">
        <x:v>25</x:v>
      </x:c>
      <x:c r="U33" s="8"/>
      <x:c r="V33" s="8"/>
      <x:c r="W33" s="8"/>
      <x:c r="X33" s="8"/>
      <x:c r="Y33" s="8"/>
      <x:c r="Z33" s="8"/>
      <x:c r="AA33" s="8"/>
      <x:c r="AB33" s="8"/>
      <x:c r="AC33" s="8"/>
      <x:c r="AD33" s="8"/>
      <x:c r="AE33" s="8"/>
      <x:c r="AF33" s="8"/>
      <x:c r="AG33" s="8"/>
      <x:c r="AH33" s="8"/>
      <x:c r="AI33" s="8"/>
      <x:c r="AJ33" s="8"/>
      <x:c r="AK33" s="8">
        <x:v>5.8</x:v>
      </x:c>
      <x:c r="AL33" s="8"/>
      <x:c r="AM33" s="8"/>
      <x:c r="AN33" s="8"/>
      <x:c r="AO33" s="8"/>
      <x:c r="AP33" s="8">
        <x:v>3.9</x:v>
      </x:c>
      <x:c r="AQ33" s="8"/>
      <x:c r="AR33" s="8"/>
      <x:c r="AS33" s="8"/>
      <x:c r="AT33" s="8"/>
      <x:c r="AU33" s="8" t="str">
        <x:v>Tables 3.10.1–3.10.2, Tobacco smoking: Women and Men, pp. 57–58, Rwanda DHS 2019–20 Final Report (2021)</x:v>
      </x:c>
    </x:row>
    <x:row r="34" ht="26.399999618530273" hidden="1" customHeight="1">
      <x:c r="A34" s="8" t="s">
        <x:v>187</x:v>
      </x:c>
      <x:c r="B34" s="8" t="s">
        <x:v>188</x:v>
      </x:c>
      <x:c r="C34" s="8" t="s">
        <x:v>189</x:v>
      </x:c>
      <x:c r="D34" s="8" t="s">
        <x:v>25</x:v>
      </x:c>
      <x:c r="E34" s="8" t="s">
        <x:v>26</x:v>
      </x:c>
      <x:c r="F34" s="8"/>
      <x:c r="G34" s="8" t="s">
        <x:v>25</x:v>
      </x:c>
      <x:c r="H34" s="8" t="s">
        <x:v>27</x:v>
      </x:c>
      <x:c r="I34" s="8"/>
      <x:c r="J34" s="8"/>
      <x:c r="K34" s="8"/>
      <x:c r="L34" s="8" t="s">
        <x:v>25</x:v>
      </x:c>
      <x:c r="M34" s="8"/>
      <x:c r="N34" s="8" t="s">
        <x:v>25</x:v>
      </x:c>
      <x:c r="O34" s="8" t="s">
        <x:v>190</x:v>
      </x:c>
      <x:c r="P34" s="8" t="s">
        <x:v>191</x:v>
      </x:c>
      <x:c r="Q34" s="8"/>
      <x:c r="R34" s="8" t="s">
        <x:v>192</x:v>
      </x:c>
      <x:c r="S34" s="8" t="s">
        <x:v>193</x:v>
      </x:c>
      <x:c r="T34" s="8" t="s">
        <x:v>25</x:v>
      </x:c>
      <x:c r="U34" s="8"/>
      <x:c r="V34" s="8"/>
      <x:c r="W34" s="8"/>
      <x:c r="X34" s="8"/>
      <x:c r="Y34" s="8"/>
      <x:c r="Z34" s="8"/>
      <x:c r="AA34" s="8">
        <x:v>75</x:v>
      </x:c>
      <x:c r="AB34" s="8"/>
      <x:c r="AC34" s="8"/>
      <x:c r="AD34" s="8">
        <x:v>80</x:v>
      </x:c>
      <x:c r="AE34" s="8"/>
      <x:c r="AF34" s="8">
        <x:v>90</x:v>
      </x:c>
      <x:c r="AG34" s="8"/>
      <x:c r="AH34" s="8"/>
      <x:c r="AI34" s="8"/>
      <x:c r="AJ34" s="8"/>
      <x:c r="AK34" s="8">
        <x:v>93</x:v>
      </x:c>
      <x:c r="AL34" s="8"/>
      <x:c r="AM34" s="8"/>
      <x:c r="AN34" s="8">
        <x:v>97</x:v>
      </x:c>
      <x:c r="AO34" s="8">
        <x:v>98</x:v>
      </x:c>
      <x:c r="AP34" s="8">
        <x:v>99</x:v>
      </x:c>
      <x:c r="AQ34" s="8"/>
      <x:c r="AR34" s="8"/>
      <x:c r="AS34" s="8"/>
      <x:c r="AT34" s="8"/>
      <x:c r="AU34" s="8" t="str">
        <x:v>NISR-related source stated as “DHS, RBC”; exact report/table/page not verified. Needs review—no reference has been invented.</x:v>
      </x:c>
    </x:row>
    <x:row r="35" ht="14.399999618530273" hidden="1" customHeight="1">
      <x:c r="A35" s="8" t="s">
        <x:v>194</x:v>
      </x:c>
      <x:c r="B35" s="8" t="s">
        <x:v>195</x:v>
      </x:c>
      <x:c r="C35" s="8" t="s">
        <x:v>196</x:v>
      </x:c>
      <x:c r="D35" s="8" t="s">
        <x:v>25</x:v>
      </x:c>
      <x:c r="E35" s="8" t="s">
        <x:v>137</x:v>
      </x:c>
      <x:c r="F35" s="8" t="s">
        <x:v>197</x:v>
      </x:c>
      <x:c r="G35" s="8" t="s">
        <x:v>198</x:v>
      </x:c>
      <x:c r="H35" s="8" t="s">
        <x:v>27</x:v>
      </x:c>
      <x:c r="I35" s="8"/>
      <x:c r="J35" s="8"/>
      <x:c r="K35" s="8"/>
      <x:c r="L35" s="8" t="s">
        <x:v>25</x:v>
      </x:c>
      <x:c r="M35" s="8"/>
      <x:c r="N35" s="8" t="s">
        <x:v>25</x:v>
      </x:c>
      <x:c r="O35" s="8" t="s">
        <x:v>199</x:v>
      </x:c>
      <x:c r="P35" s="8" t="s">
        <x:v>200</x:v>
      </x:c>
      <x:c r="Q35" s="8"/>
      <x:c r="R35" s="8" t="s">
        <x:v>25</x:v>
      </x:c>
      <x:c r="S35" s="8"/>
      <x:c r="T35" s="8" t="s">
        <x:v>25</x:v>
      </x:c>
      <x:c r="U35" s="8"/>
      <x:c r="V35" s="8"/>
      <x:c r="W35" s="8"/>
      <x:c r="X35" s="8"/>
      <x:c r="Y35" s="8"/>
      <x:c r="Z35" s="8"/>
      <x:c r="AA35" s="8"/>
      <x:c r="AB35" s="8"/>
      <x:c r="AC35" s="8"/>
      <x:c r="AD35" s="8"/>
      <x:c r="AE35" s="8"/>
      <x:c r="AF35" s="8"/>
      <x:c r="AG35" s="8"/>
      <x:c r="AH35" s="8"/>
      <x:c r="AI35" s="8"/>
      <x:c r="AJ35" s="8"/>
      <x:c r="AK35" s="8"/>
      <x:c r="AL35" s="8"/>
      <x:c r="AM35" s="8">
        <x:v>0.1</x:v>
      </x:c>
      <x:c r="AN35" s="8"/>
      <x:c r="AO35" s="8"/>
      <x:c r="AP35" s="8"/>
      <x:c r="AQ35" s="8"/>
      <x:c r="AR35" s="8"/>
      <x:c r="AS35" s="8"/>
      <x:c r="AT35" s="8"/>
      <x:c r="AU35" s="8" t="str">
        <x:v>Not applicable—source is not an NISR publication: Ministry of Health.</x:v>
      </x:c>
    </x:row>
    <x:row r="36" ht="26.399999618530273" hidden="1" customHeight="1">
      <x:c r="A36" s="8" t="s">
        <x:v>201</x:v>
      </x:c>
      <x:c r="B36" s="8" t="s">
        <x:v>202</x:v>
      </x:c>
      <x:c r="C36" s="8" t="s">
        <x:v>203</x:v>
      </x:c>
      <x:c r="D36" s="8" t="s">
        <x:v>204</x:v>
      </x:c>
      <x:c r="E36" s="8" t="s">
        <x:v>26</x:v>
      </x:c>
      <x:c r="F36" s="8"/>
      <x:c r="G36" s="8" t="s">
        <x:v>25</x:v>
      </x:c>
      <x:c r="H36" s="8" t="s">
        <x:v>27</x:v>
      </x:c>
      <x:c r="I36" s="8"/>
      <x:c r="J36" s="8"/>
      <x:c r="K36" s="8"/>
      <x:c r="L36" s="8" t="s">
        <x:v>25</x:v>
      </x:c>
      <x:c r="M36" s="8"/>
      <x:c r="N36" s="8" t="s">
        <x:v>25</x:v>
      </x:c>
      <x:c r="O36" s="8" t="s">
        <x:v>205</x:v>
      </x:c>
      <x:c r="P36" s="8" t="s">
        <x:v>206</x:v>
      </x:c>
      <x:c r="Q36" s="8"/>
      <x:c r="R36" s="8" t="s">
        <x:v>25</x:v>
      </x:c>
      <x:c r="S36" s="8"/>
      <x:c r="T36" s="8" t="s">
        <x:v>25</x:v>
      </x:c>
      <x:c r="U36" s="8"/>
      <x:c r="V36" s="8"/>
      <x:c r="W36" s="8"/>
      <x:c r="X36" s="8"/>
      <x:c r="Y36" s="8"/>
      <x:c r="Z36" s="8"/>
      <x:c r="AA36" s="8"/>
      <x:c r="AB36" s="8"/>
      <x:c r="AC36" s="8"/>
      <x:c r="AD36" s="8"/>
      <x:c r="AE36" s="8"/>
      <x:c r="AF36" s="8"/>
      <x:c r="AG36" s="8"/>
      <x:c r="AH36" s="8"/>
      <x:c r="AI36" s="8"/>
      <x:c r="AJ36" s="8">
        <x:v>25</x:v>
      </x:c>
      <x:c r="AK36" s="8"/>
      <x:c r="AL36" s="8"/>
      <x:c r="AM36" s="8">
        <x:v>25</x:v>
      </x:c>
      <x:c r="AN36" s="8"/>
      <x:c r="AO36" s="8"/>
      <x:c r="AP36" s="8"/>
      <x:c r="AQ36" s="8"/>
      <x:c r="AR36" s="8"/>
      <x:c r="AS36" s="8"/>
      <x:c r="AT36" s="8"/>
      <x:c r="AU36" s="8" t="str">
        <x:v>Not applicable—source is not an NISR publication: WHO, International Health Regulations (2005) Monitoring Framework Country Profiles.</x:v>
      </x:c>
    </x:row>
    <x:row r="37" ht="26.399999618530273" hidden="1" customHeight="1">
      <x:c r="A37" s="8" t="s">
        <x:v>207</x:v>
      </x:c>
      <x:c r="B37" s="8" t="s">
        <x:v>208</x:v>
      </x:c>
      <x:c r="C37" s="8" t="s">
        <x:v>209</x:v>
      </x:c>
      <x:c r="D37" s="8" t="s">
        <x:v>25</x:v>
      </x:c>
      <x:c r="E37" s="8" t="s">
        <x:v>26</x:v>
      </x:c>
      <x:c r="F37" s="8"/>
      <x:c r="G37" s="8" t="s">
        <x:v>25</x:v>
      </x:c>
      <x:c r="H37" s="8" t="s">
        <x:v>27</x:v>
      </x:c>
      <x:c r="I37" s="8"/>
      <x:c r="J37" s="8"/>
      <x:c r="K37" s="8"/>
      <x:c r="L37" s="8" t="s">
        <x:v>25</x:v>
      </x:c>
      <x:c r="M37" s="8" t="s">
        <x:v>210</x:v>
      </x:c>
      <x:c r="N37" s="8" t="s">
        <x:v>211</x:v>
      </x:c>
      <x:c r="O37" s="8" t="s">
        <x:v>212</x:v>
      </x:c>
      <x:c r="P37" s="8" t="s">
        <x:v>213</x:v>
      </x:c>
      <x:c r="Q37" s="8"/>
      <x:c r="R37" s="8" t="s">
        <x:v>25</x:v>
      </x:c>
      <x:c r="S37" s="8"/>
      <x:c r="T37" s="8" t="s">
        <x:v>25</x:v>
      </x:c>
      <x:c r="U37" s="8"/>
      <x:c r="V37" s="8"/>
      <x:c r="W37" s="8"/>
      <x:c r="X37" s="8"/>
      <x:c r="Y37" s="8"/>
      <x:c r="Z37" s="8"/>
      <x:c r="AA37" s="8"/>
      <x:c r="AB37" s="8"/>
      <x:c r="AC37" s="8"/>
      <x:c r="AD37" s="8"/>
      <x:c r="AE37" s="8"/>
      <x:c r="AF37" s="8"/>
      <x:c r="AG37" s="8"/>
      <x:c r="AH37" s="8"/>
      <x:c r="AI37" s="8"/>
      <x:c r="AJ37" s="8">
        <x:v>45.3</x:v>
      </x:c>
      <x:c r="AK37" s="8"/>
      <x:c r="AL37" s="8"/>
      <x:c r="AM37" s="8"/>
      <x:c r="AN37" s="8"/>
      <x:c r="AO37" s="8"/>
      <x:c r="AP37" s="8"/>
      <x:c r="AQ37" s="8"/>
      <x:c r="AR37" s="8"/>
      <x:c r="AS37" s="8"/>
      <x:c r="AT37" s="8"/>
      <x:c r="AU37" s="8" t="str">
        <x:v>Not applicable—source is not an NISR publication: REB, Learning Achievement in Rwanda schools (2016 through LARS II and 2018).</x:v>
      </x:c>
    </x:row>
    <x:row r="38" ht="39.599998474121094" hidden="0" customHeight="1">
      <x:c r="A38" s="8" t="s">
        <x:v>214</x:v>
      </x:c>
      <x:c r="B38" s="8" t="s">
        <x:v>215</x:v>
      </x:c>
      <x:c r="C38" s="8" t="s">
        <x:v>216</x:v>
      </x:c>
      <x:c r="D38" s="8" t="s">
        <x:v>25</x:v>
      </x:c>
      <x:c r="E38" s="8" t="s">
        <x:v>26</x:v>
      </x:c>
      <x:c r="F38" s="8"/>
      <x:c r="G38" s="8" t="s">
        <x:v>25</x:v>
      </x:c>
      <x:c r="H38" s="8" t="s">
        <x:v>27</x:v>
      </x:c>
      <x:c r="I38" s="8"/>
      <x:c r="J38" s="8"/>
      <x:c r="K38" s="8"/>
      <x:c r="L38" s="8" t="s">
        <x:v>25</x:v>
      </x:c>
      <x:c r="M38" s="8" t="s">
        <x:v>217</x:v>
      </x:c>
      <x:c r="N38" s="8" t="s">
        <x:v>218</x:v>
      </x:c>
      <x:c r="O38" s="8" t="s">
        <x:v>219</x:v>
      </x:c>
      <x:c r="P38" s="8" t="s">
        <x:v>220</x:v>
      </x:c>
      <x:c r="Q38" s="8"/>
      <x:c r="R38" s="8" t="s">
        <x:v>221</x:v>
      </x:c>
      <x:c r="S38" s="8" t="s">
        <x:v>222</x:v>
      </x:c>
      <x:c r="T38" s="8" t="s">
        <x:v>25</x:v>
      </x:c>
      <x:c r="U38" s="8"/>
      <x:c r="V38" s="8"/>
      <x:c r="W38" s="8"/>
      <x:c r="X38" s="8"/>
      <x:c r="Y38" s="8"/>
      <x:c r="Z38" s="8"/>
      <x:c r="AA38" s="8"/>
      <x:c r="AB38" s="8"/>
      <x:c r="AC38" s="8"/>
      <x:c r="AD38" s="8"/>
      <x:c r="AE38" s="8"/>
      <x:c r="AF38" s="8"/>
      <x:c r="AG38" s="8"/>
      <x:c r="AH38" s="8"/>
      <x:c r="AI38" s="8"/>
      <x:c r="AJ38" s="8"/>
      <x:c r="AK38" s="8"/>
      <x:c r="AL38" s="8">
        <x:v>63.1</x:v>
      </x:c>
      <x:c r="AM38" s="8"/>
      <x:c r="AN38" s="8"/>
      <x:c r="AO38" s="8"/>
      <x:c r="AP38" s="11">
        <x:v>76</x:v>
      </x:c>
      <x:c r="AQ38" s="8"/>
      <x:c r="AR38" s="8"/>
      <x:c r="AS38" s="8"/>
      <x:c r="AT38" s="8"/>
      <x:c r="AU38" s="8" t="str">
        <x:v>ECDI table, Early Childhood Development Index, Early childhood development chapter, Rwanda DHS 2019–20 Final Report (2021). Needs review: Exact table number should be confirmed in the final report before automation.</x:v>
      </x:c>
    </x:row>
    <x:row r="39" ht="26.399999618530273" hidden="1" customHeight="1">
      <x:c r="A39" s="8" t="s">
        <x:v>223</x:v>
      </x:c>
      <x:c r="B39" s="8" t="s">
        <x:v>224</x:v>
      </x:c>
      <x:c r="C39" s="8" t="s">
        <x:v>225</x:v>
      </x:c>
      <x:c r="D39" s="8" t="s">
        <x:v>25</x:v>
      </x:c>
      <x:c r="E39" s="8" t="s">
        <x:v>26</x:v>
      </x:c>
      <x:c r="F39" s="8"/>
      <x:c r="G39" s="8" t="s">
        <x:v>25</x:v>
      </x:c>
      <x:c r="H39" s="8" t="s">
        <x:v>27</x:v>
      </x:c>
      <x:c r="I39" s="8"/>
      <x:c r="J39" s="8"/>
      <x:c r="K39" s="8"/>
      <x:c r="L39" s="8" t="s">
        <x:v>25</x:v>
      </x:c>
      <x:c r="M39" s="8" t="s">
        <x:v>217</x:v>
      </x:c>
      <x:c r="N39" s="8" t="s">
        <x:v>218</x:v>
      </x:c>
      <x:c r="O39" s="8" t="s">
        <x:v>226</x:v>
      </x:c>
      <x:c r="P39" s="8" t="s">
        <x:v>227</x:v>
      </x:c>
      <x:c r="Q39" s="8"/>
      <x:c r="R39" s="8" t="s">
        <x:v>25</x:v>
      </x:c>
      <x:c r="S39" s="8"/>
      <x:c r="T39" s="8" t="s">
        <x:v>25</x:v>
      </x:c>
      <x:c r="U39" s="8"/>
      <x:c r="V39" s="8"/>
      <x:c r="W39" s="8"/>
      <x:c r="X39" s="8"/>
      <x:c r="Y39" s="8"/>
      <x:c r="Z39" s="8"/>
      <x:c r="AA39" s="8"/>
      <x:c r="AB39" s="8"/>
      <x:c r="AC39" s="8"/>
      <x:c r="AD39" s="8"/>
      <x:c r="AE39" s="8"/>
      <x:c r="AF39" s="8"/>
      <x:c r="AG39" s="8"/>
      <x:c r="AH39" s="8"/>
      <x:c r="AI39" s="8"/>
      <x:c r="AJ39" s="8"/>
      <x:c r="AK39" s="8"/>
      <x:c r="AL39" s="8"/>
      <x:c r="AM39" s="11">
        <x:v>47</x:v>
      </x:c>
      <x:c r="AN39" s="8">
        <x:v>52.6</x:v>
      </x:c>
      <x:c r="AO39" s="8">
        <x:v>57.1</x:v>
      </x:c>
      <x:c r="AP39" s="8"/>
      <x:c r="AQ39" s="8"/>
      <x:c r="AR39" s="8"/>
      <x:c r="AS39" s="8"/>
      <x:c r="AT39" s="8"/>
      <x:c r="AU39" s="8" t="str">
        <x:v>Not applicable—source is not an NISR publication: MINEDUC, Education Admin data, 2023.</x:v>
      </x:c>
    </x:row>
    <x:row r="40" ht="26.399999618530273" hidden="1" customHeight="1">
      <x:c r="A40" s="8" t="s">
        <x:v>228</x:v>
      </x:c>
      <x:c r="B40" s="8" t="s">
        <x:v>229</x:v>
      </x:c>
      <x:c r="C40" s="8" t="s">
        <x:v>230</x:v>
      </x:c>
      <x:c r="D40" s="8" t="s">
        <x:v>25</x:v>
      </x:c>
      <x:c r="E40" s="8" t="s">
        <x:v>26</x:v>
      </x:c>
      <x:c r="F40" s="8"/>
      <x:c r="G40" s="8" t="s">
        <x:v>25</x:v>
      </x:c>
      <x:c r="H40" s="8" t="s">
        <x:v>27</x:v>
      </x:c>
      <x:c r="I40" s="8"/>
      <x:c r="J40" s="8"/>
      <x:c r="K40" s="8"/>
      <x:c r="L40" s="8" t="s">
        <x:v>25</x:v>
      </x:c>
      <x:c r="M40" s="8"/>
      <x:c r="N40" s="8" t="s">
        <x:v>25</x:v>
      </x:c>
      <x:c r="O40" s="8" t="s">
        <x:v>231</x:v>
      </x:c>
      <x:c r="P40" s="8" t="s">
        <x:v>232</x:v>
      </x:c>
      <x:c r="Q40" s="8"/>
      <x:c r="R40" s="8" t="s">
        <x:v>233</x:v>
      </x:c>
      <x:c r="S40" s="8" t="s">
        <x:v>234</x:v>
      </x:c>
      <x:c r="T40" s="8" t="s">
        <x:v>25</x:v>
      </x:c>
      <x:c r="U40" s="8"/>
      <x:c r="V40" s="8"/>
      <x:c r="W40" s="8"/>
      <x:c r="X40" s="8"/>
      <x:c r="Y40" s="8"/>
      <x:c r="Z40" s="8"/>
      <x:c r="AA40" s="8"/>
      <x:c r="AB40" s="8"/>
      <x:c r="AC40" s="8"/>
      <x:c r="AD40" s="8"/>
      <x:c r="AE40" s="8"/>
      <x:c r="AF40" s="8"/>
      <x:c r="AG40" s="8"/>
      <x:c r="AH40" s="8"/>
      <x:c r="AI40" s="8"/>
      <x:c r="AJ40" s="8"/>
      <x:c r="AK40" s="8"/>
      <x:c r="AL40" s="8"/>
      <x:c r="AM40" s="8">
        <x:v>42.7</x:v>
      </x:c>
      <x:c r="AN40" s="8">
        <x:v>32.299999999999997</x:v>
      </x:c>
      <x:c r="AO40" s="8">
        <x:v>35.799999999999997</x:v>
      </x:c>
      <x:c r="AP40" s="8"/>
      <x:c r="AQ40" s="8">
        <x:v>38.1</x:v>
      </x:c>
      <x:c r="AR40" s="8">
        <x:v>38.6</x:v>
      </x:c>
      <x:c r="AS40" s="8"/>
      <x:c r="AT40" s="8"/>
      <x:c r="AU40" s="8" t="str">
        <x:v>Not applicable—source is not an NISR publication: MINEDUC MIS/ Education Admin data, 2023.</x:v>
      </x:c>
    </x:row>
    <x:row r="41" ht="26.399999618530273" hidden="0" customHeight="1">
      <x:c r="A41" s="8" t="s">
        <x:v>235</x:v>
      </x:c>
      <x:c r="B41" s="8" t="s">
        <x:v>236</x:v>
      </x:c>
      <x:c r="C41" s="8" t="s">
        <x:v>237</x:v>
      </x:c>
      <x:c r="D41" s="8" t="s">
        <x:v>25</x:v>
      </x:c>
      <x:c r="E41" s="8" t="s">
        <x:v>26</x:v>
      </x:c>
      <x:c r="F41" s="8"/>
      <x:c r="G41" s="8" t="s">
        <x:v>25</x:v>
      </x:c>
      <x:c r="H41" s="8" t="s">
        <x:v>27</x:v>
      </x:c>
      <x:c r="I41" s="8"/>
      <x:c r="J41" s="8"/>
      <x:c r="K41" s="8"/>
      <x:c r="L41" s="8" t="s">
        <x:v>25</x:v>
      </x:c>
      <x:c r="M41" s="8"/>
      <x:c r="N41" s="8" t="s">
        <x:v>25</x:v>
      </x:c>
      <x:c r="O41" s="8" t="s">
        <x:v>33</x:v>
      </x:c>
      <x:c r="P41" s="8" t="s">
        <x:v>238</x:v>
      </x:c>
      <x:c r="Q41" s="8"/>
      <x:c r="R41" s="8" t="s">
        <x:v>25</x:v>
      </x:c>
      <x:c r="S41" s="8"/>
      <x:c r="T41" s="8" t="s">
        <x:v>25</x:v>
      </x:c>
      <x:c r="U41" s="8"/>
      <x:c r="V41" s="8"/>
      <x:c r="W41" s="8"/>
      <x:c r="X41" s="8"/>
      <x:c r="Y41" s="8"/>
      <x:c r="Z41" s="8"/>
      <x:c r="AA41" s="8"/>
      <x:c r="AB41" s="8"/>
      <x:c r="AC41" s="8"/>
      <x:c r="AD41" s="8"/>
      <x:c r="AE41" s="8"/>
      <x:c r="AF41" s="8"/>
      <x:c r="AG41" s="8"/>
      <x:c r="AH41" s="8"/>
      <x:c r="AI41" s="8"/>
      <x:c r="AJ41" s="8"/>
      <x:c r="AK41" s="8"/>
      <x:c r="AL41" s="8"/>
      <x:c r="AM41" s="8">
        <x:v>4.5999999999999996</x:v>
      </x:c>
      <x:c r="AN41" s="8"/>
      <x:c r="AO41" s="8"/>
      <x:c r="AP41" s="8">
        <x:v>5.2</x:v>
      </x:c>
      <x:c r="AQ41" s="8"/>
      <x:c r="AR41" s="8"/>
      <x:c r="AS41" s="8"/>
      <x:c r="AT41" s="8">
        <x:v>5.6</x:v>
      </x:c>
      <x:c r="AU41" s="8" t="str">
        <x:v>Table 4.11, Individuals aged 10+ who used computer skills in the last three months, p. 43, EICV7 Main Indicators Report 2023/24 (2025)</x:v>
      </x:c>
    </x:row>
    <x:row r="42" ht="26.399999618530273" hidden="0" customHeight="1">
      <x:c r="A42" s="8" t="s">
        <x:v>239</x:v>
      </x:c>
      <x:c r="B42" s="12" t="s">
        <x:v>240</x:v>
      </x:c>
      <x:c r="C42" s="8" t="s">
        <x:v>241</x:v>
      </x:c>
      <x:c r="D42" s="8" t="s">
        <x:v>25</x:v>
      </x:c>
      <x:c r="E42" s="8" t="s">
        <x:v>38</x:v>
      </x:c>
      <x:c r="F42" s="8"/>
      <x:c r="G42" s="8" t="s">
        <x:v>25</x:v>
      </x:c>
      <x:c r="H42" s="8" t="s">
        <x:v>27</x:v>
      </x:c>
      <x:c r="I42" s="8"/>
      <x:c r="J42" s="8"/>
      <x:c r="K42" s="8"/>
      <x:c r="L42" s="8" t="s">
        <x:v>25</x:v>
      </x:c>
      <x:c r="M42" s="8" t="s">
        <x:v>242</x:v>
      </x:c>
      <x:c r="N42" s="8" t="s">
        <x:v>243</x:v>
      </x:c>
      <x:c r="O42" s="8" t="s">
        <x:v>33</x:v>
      </x:c>
      <x:c r="P42" s="8" t="s">
        <x:v>244</x:v>
      </x:c>
      <x:c r="Q42" s="8"/>
      <x:c r="R42" s="8" t="s">
        <x:v>25</x:v>
      </x:c>
      <x:c r="S42" s="8"/>
      <x:c r="T42" s="8" t="s">
        <x:v>25</x:v>
      </x:c>
      <x:c r="U42" s="8"/>
      <x:c r="V42" s="8"/>
      <x:c r="W42" s="8"/>
      <x:c r="X42" s="8"/>
      <x:c r="Y42" s="8"/>
      <x:c r="Z42" s="8"/>
      <x:c r="AA42" s="8"/>
      <x:c r="AB42" s="8"/>
      <x:c r="AC42" s="8"/>
      <x:c r="AD42" s="8"/>
      <x:c r="AE42" s="8"/>
      <x:c r="AF42" s="8"/>
      <x:c r="AG42" s="8"/>
      <x:c r="AH42" s="8"/>
      <x:c r="AI42" s="8"/>
      <x:c r="AJ42" s="8"/>
      <x:c r="AK42" s="8"/>
      <x:c r="AL42" s="8"/>
      <x:c r="AM42" s="11">
        <x:v>1.01</x:v>
      </x:c>
      <x:c r="AN42" s="8"/>
      <x:c r="AO42" s="8"/>
      <x:c r="AP42" s="8"/>
      <x:c r="AQ42" s="8"/>
      <x:c r="AR42" s="8"/>
      <x:c r="AS42" s="8"/>
      <x:c r="AT42" s="11">
        <x:v>1.02</x:v>
      </x:c>
      <x:c r="AU42" s="8" t="str">
        <x:v>Table 4.12, Net and Gross Attendance Rates in primary school, p. 44, EICV7 Main Indicators Report 2023/24 (2025)</x:v>
      </x:c>
    </x:row>
    <x:row r="43" ht="14.399999618530273" hidden="1" customHeight="1">
      <x:c r="A43" s="8" t="s">
        <x:v>245</x:v>
      </x:c>
      <x:c r="B43" s="8" t="s">
        <x:v>246</x:v>
      </x:c>
      <x:c r="C43" s="8" t="s">
        <x:v>247</x:v>
      </x:c>
      <x:c r="D43" s="8" t="s">
        <x:v>25</x:v>
      </x:c>
      <x:c r="E43" s="8" t="s">
        <x:v>26</x:v>
      </x:c>
      <x:c r="F43" s="8"/>
      <x:c r="G43" s="8" t="s">
        <x:v>25</x:v>
      </x:c>
      <x:c r="H43" s="8" t="s">
        <x:v>27</x:v>
      </x:c>
      <x:c r="I43" s="8"/>
      <x:c r="J43" s="8"/>
      <x:c r="K43" s="8"/>
      <x:c r="L43" s="8" t="s">
        <x:v>25</x:v>
      </x:c>
      <x:c r="M43" s="8"/>
      <x:c r="N43" s="8" t="s">
        <x:v>25</x:v>
      </x:c>
      <x:c r="O43" s="8" t="s">
        <x:v>248</x:v>
      </x:c>
      <x:c r="P43" s="8" t="s">
        <x:v>249</x:v>
      </x:c>
      <x:c r="Q43" s="8"/>
      <x:c r="R43" s="8" t="s">
        <x:v>25</x:v>
      </x:c>
      <x:c r="S43" s="8"/>
      <x:c r="T43" s="8" t="s">
        <x:v>25</x:v>
      </x:c>
      <x:c r="U43" s="8"/>
      <x:c r="V43" s="8"/>
      <x:c r="W43" s="8"/>
      <x:c r="X43" s="8"/>
      <x:c r="Y43" s="8"/>
      <x:c r="Z43" s="8"/>
      <x:c r="AA43" s="8"/>
      <x:c r="AB43" s="8"/>
      <x:c r="AC43" s="8"/>
      <x:c r="AD43" s="8"/>
      <x:c r="AE43" s="8"/>
      <x:c r="AF43" s="8"/>
      <x:c r="AG43" s="8"/>
      <x:c r="AH43" s="8"/>
      <x:c r="AI43" s="8"/>
      <x:c r="AJ43" s="8"/>
      <x:c r="AK43" s="8"/>
      <x:c r="AL43" s="8"/>
      <x:c r="AM43" s="8">
        <x:v>84.6</x:v>
      </x:c>
      <x:c r="AN43" s="8"/>
      <x:c r="AO43" s="8"/>
      <x:c r="AP43" s="8"/>
      <x:c r="AQ43" s="8"/>
      <x:c r="AR43" s="8"/>
      <x:c r="AS43" s="8"/>
      <x:c r="AT43" s="8"/>
      <x:c r="AU43" s="8" t="str">
        <x:v>Not applicable—source is not an NISR publication: MINEDUC.</x:v>
      </x:c>
    </x:row>
    <x:row r="44" ht="26.399999618530273" hidden="1" customHeight="1">
      <x:c r="A44" s="8" t="s">
        <x:v>250</x:v>
      </x:c>
      <x:c r="B44" s="8" t="s">
        <x:v>251</x:v>
      </x:c>
      <x:c r="C44" s="8" t="s">
        <x:v>252</x:v>
      </x:c>
      <x:c r="D44" s="8" t="s">
        <x:v>25</x:v>
      </x:c>
      <x:c r="E44" s="8" t="s">
        <x:v>26</x:v>
      </x:c>
      <x:c r="F44" s="8"/>
      <x:c r="G44" s="8" t="s">
        <x:v>25</x:v>
      </x:c>
      <x:c r="H44" s="8" t="s">
        <x:v>27</x:v>
      </x:c>
      <x:c r="I44" s="8"/>
      <x:c r="J44" s="8"/>
      <x:c r="K44" s="8"/>
      <x:c r="L44" s="8" t="s">
        <x:v>25</x:v>
      </x:c>
      <x:c r="M44" s="8" t="s">
        <x:v>253</x:v>
      </x:c>
      <x:c r="N44" s="8" t="s">
        <x:v>254</x:v>
      </x:c>
      <x:c r="O44" s="8" t="s">
        <x:v>255</x:v>
      </x:c>
      <x:c r="P44" s="8" t="s">
        <x:v>256</x:v>
      </x:c>
      <x:c r="Q44" s="8"/>
      <x:c r="R44" s="8" t="s">
        <x:v>25</x:v>
      </x:c>
      <x:c r="S44" s="8"/>
      <x:c r="T44" s="8" t="s">
        <x:v>25</x:v>
      </x:c>
      <x:c r="U44" s="8"/>
      <x:c r="V44" s="8"/>
      <x:c r="W44" s="8"/>
      <x:c r="X44" s="8"/>
      <x:c r="Y44" s="8"/>
      <x:c r="Z44" s="8"/>
      <x:c r="AA44" s="8"/>
      <x:c r="AB44" s="8"/>
      <x:c r="AC44" s="8"/>
      <x:c r="AD44" s="8"/>
      <x:c r="AE44" s="8"/>
      <x:c r="AF44" s="8"/>
      <x:c r="AG44" s="8"/>
      <x:c r="AH44" s="8"/>
      <x:c r="AI44" s="8"/>
      <x:c r="AJ44" s="8"/>
      <x:c r="AK44" s="8"/>
      <x:c r="AL44" s="8">
        <x:v>13.1</x:v>
      </x:c>
      <x:c r="AM44" s="8">
        <x:v>32.299999999999997</x:v>
      </x:c>
      <x:c r="AN44" s="8">
        <x:v>39.799999999999997</x:v>
      </x:c>
      <x:c r="AO44" s="8">
        <x:v>46.3</x:v>
      </x:c>
      <x:c r="AP44" s="8"/>
      <x:c r="AQ44" s="8">
        <x:v>79.2</x:v>
      </x:c>
      <x:c r="AR44" s="8"/>
      <x:c r="AS44" s="8"/>
      <x:c r="AT44" s="8">
        <x:v>82.1</x:v>
      </x:c>
      <x:c r="AU44" s="8" t="str">
        <x:v>NISR-related source stated as “MINEDUC, Statistical Yearbook 2022”; exact report/table/page not verified. Needs review—no reference has been invented.</x:v>
      </x:c>
    </x:row>
    <x:row r="45" ht="26.399999618530273" hidden="1" customHeight="1">
      <x:c r="A45" s="8" t="s">
        <x:v>257</x:v>
      </x:c>
      <x:c r="B45" s="8" t="s">
        <x:v>258</x:v>
      </x:c>
      <x:c r="C45" s="8" t="s">
        <x:v>259</x:v>
      </x:c>
      <x:c r="D45" s="8" t="s">
        <x:v>25</x:v>
      </x:c>
      <x:c r="E45" s="8" t="s">
        <x:v>26</x:v>
      </x:c>
      <x:c r="F45" s="8"/>
      <x:c r="G45" s="8" t="s">
        <x:v>25</x:v>
      </x:c>
      <x:c r="H45" s="8" t="s">
        <x:v>27</x:v>
      </x:c>
      <x:c r="I45" s="8"/>
      <x:c r="J45" s="8"/>
      <x:c r="K45" s="8"/>
      <x:c r="L45" s="8" t="s">
        <x:v>25</x:v>
      </x:c>
      <x:c r="M45" s="8" t="s">
        <x:v>253</x:v>
      </x:c>
      <x:c r="N45" s="8" t="s">
        <x:v>254</x:v>
      </x:c>
      <x:c r="O45" s="8" t="s">
        <x:v>255</x:v>
      </x:c>
      <x:c r="P45" s="8" t="s">
        <x:v>260</x:v>
      </x:c>
      <x:c r="Q45" s="8"/>
      <x:c r="R45" s="8" t="s">
        <x:v>25</x:v>
      </x:c>
      <x:c r="S45" s="8"/>
      <x:c r="T45" s="8" t="s">
        <x:v>25</x:v>
      </x:c>
      <x:c r="U45" s="8"/>
      <x:c r="V45" s="8"/>
      <x:c r="W45" s="8"/>
      <x:c r="X45" s="8"/>
      <x:c r="Y45" s="8"/>
      <x:c r="Z45" s="8"/>
      <x:c r="AA45" s="8"/>
      <x:c r="AB45" s="8"/>
      <x:c r="AC45" s="8"/>
      <x:c r="AD45" s="8"/>
      <x:c r="AE45" s="8"/>
      <x:c r="AF45" s="8"/>
      <x:c r="AG45" s="8"/>
      <x:c r="AH45" s="8"/>
      <x:c r="AI45" s="8"/>
      <x:c r="AJ45" s="8"/>
      <x:c r="AK45" s="8"/>
      <x:c r="AL45" s="8">
        <x:v>52.7</x:v>
      </x:c>
      <x:c r="AM45" s="8">
        <x:v>41.6</x:v>
      </x:c>
      <x:c r="AN45" s="8">
        <x:v>45.6</x:v>
      </x:c>
      <x:c r="AO45" s="8">
        <x:v>49.5</x:v>
      </x:c>
      <x:c r="AP45" s="8">
        <x:v>43.5</x:v>
      </x:c>
      <x:c r="AQ45" s="8">
        <x:v>52.4</x:v>
      </x:c>
      <x:c r="AR45" s="8"/>
      <x:c r="AS45" s="8"/>
      <x:c r="AT45" s="8">
        <x:v>52.6</x:v>
      </x:c>
      <x:c r="AU45" s="8" t="str">
        <x:v>NISR-related source stated as “MINEDUC, Statistical Yearbook 2022”; exact report/table/page not verified. Needs review—no reference has been invented.</x:v>
      </x:c>
    </x:row>
    <x:row r="46" ht="26.399999618530273" hidden="0" customHeight="1">
      <x:c r="A46" s="8" t="s">
        <x:v>261</x:v>
      </x:c>
      <x:c r="B46" s="8" t="s">
        <x:v>262</x:v>
      </x:c>
      <x:c r="C46" s="8" t="s">
        <x:v>263</x:v>
      </x:c>
      <x:c r="D46" s="8" t="s">
        <x:v>25</x:v>
      </x:c>
      <x:c r="E46" s="8" t="s">
        <x:v>26</x:v>
      </x:c>
      <x:c r="F46" s="8"/>
      <x:c r="G46" s="8" t="s">
        <x:v>25</x:v>
      </x:c>
      <x:c r="H46" s="8" t="s">
        <x:v>27</x:v>
      </x:c>
      <x:c r="I46" s="8"/>
      <x:c r="J46" s="8"/>
      <x:c r="K46" s="8"/>
      <x:c r="L46" s="8" t="s">
        <x:v>25</x:v>
      </x:c>
      <x:c r="M46" s="8"/>
      <x:c r="N46" s="8" t="s">
        <x:v>25</x:v>
      </x:c>
      <x:c r="O46" s="8" t="s">
        <x:v>94</x:v>
      </x:c>
      <x:c r="P46" s="8" t="s">
        <x:v>264</x:v>
      </x:c>
      <x:c r="Q46" s="8"/>
      <x:c r="R46" s="8" t="s">
        <x:v>25</x:v>
      </x:c>
      <x:c r="S46" s="8"/>
      <x:c r="T46" s="8" t="s">
        <x:v>163</x:v>
      </x:c>
      <x:c r="U46" s="8" t="s">
        <x:v>164</x:v>
      </x:c>
      <x:c r="V46" s="8"/>
      <x:c r="W46" s="8"/>
      <x:c r="X46" s="8"/>
      <x:c r="Y46" s="8"/>
      <x:c r="Z46" s="8"/>
      <x:c r="AA46" s="8"/>
      <x:c r="AB46" s="8"/>
      <x:c r="AC46" s="8"/>
      <x:c r="AD46" s="8"/>
      <x:c r="AE46" s="8"/>
      <x:c r="AF46" s="8"/>
      <x:c r="AG46" s="8"/>
      <x:c r="AH46" s="8"/>
      <x:c r="AI46" s="8"/>
      <x:c r="AJ46" s="8"/>
      <x:c r="AK46" s="8">
        <x:v>17.600000000000001</x:v>
      </x:c>
      <x:c r="AL46" s="8"/>
      <x:c r="AM46" s="8"/>
      <x:c r="AN46" s="8"/>
      <x:c r="AO46" s="8"/>
      <x:c r="AP46" s="11">
        <x:v>30</x:v>
      </x:c>
      <x:c r="AQ46" s="8"/>
      <x:c r="AR46" s="8"/>
      <x:c r="AS46" s="8"/>
      <x:c r="AT46" s="8"/>
      <x:c r="AU46" s="8" t="str">
        <x:v>Table 16.9.1, Spousal violence by background characteristics, SDG summary p. xxviii / domestic violence chapter, Rwanda DHS 2019–20 Final Report (2021)</x:v>
      </x:c>
    </x:row>
    <x:row r="47" ht="39.599998474121094" hidden="0" customHeight="1">
      <x:c r="A47" s="8" t="s">
        <x:v>265</x:v>
      </x:c>
      <x:c r="B47" s="8" t="s">
        <x:v>266</x:v>
      </x:c>
      <x:c r="C47" s="8" t="s">
        <x:v>267</x:v>
      </x:c>
      <x:c r="D47" s="8" t="s">
        <x:v>25</x:v>
      </x:c>
      <x:c r="E47" s="8" t="s">
        <x:v>26</x:v>
      </x:c>
      <x:c r="F47" s="8"/>
      <x:c r="G47" s="8" t="s">
        <x:v>25</x:v>
      </x:c>
      <x:c r="H47" s="8" t="s">
        <x:v>27</x:v>
      </x:c>
      <x:c r="I47" s="8"/>
      <x:c r="J47" s="8"/>
      <x:c r="K47" s="8"/>
      <x:c r="L47" s="8" t="s">
        <x:v>25</x:v>
      </x:c>
      <x:c r="M47" s="8"/>
      <x:c r="N47" s="8" t="s">
        <x:v>25</x:v>
      </x:c>
      <x:c r="O47" s="8" t="s">
        <x:v>94</x:v>
      </x:c>
      <x:c r="P47" s="8" t="s">
        <x:v>268</x:v>
      </x:c>
      <x:c r="Q47" s="8"/>
      <x:c r="R47" s="8" t="s">
        <x:v>25</x:v>
      </x:c>
      <x:c r="S47" s="8"/>
      <x:c r="T47" s="8" t="s">
        <x:v>25</x:v>
      </x:c>
      <x:c r="U47" s="8"/>
      <x:c r="V47" s="8"/>
      <x:c r="W47" s="8"/>
      <x:c r="X47" s="8"/>
      <x:c r="Y47" s="8"/>
      <x:c r="Z47" s="8"/>
      <x:c r="AA47" s="8"/>
      <x:c r="AB47" s="8"/>
      <x:c r="AC47" s="8"/>
      <x:c r="AD47" s="8"/>
      <x:c r="AE47" s="8"/>
      <x:c r="AF47" s="8"/>
      <x:c r="AG47" s="8"/>
      <x:c r="AH47" s="8"/>
      <x:c r="AI47" s="8"/>
      <x:c r="AJ47" s="8"/>
      <x:c r="AK47" s="8">
        <x:v>7.6</x:v>
      </x:c>
      <x:c r="AL47" s="8"/>
      <x:c r="AM47" s="8"/>
      <x:c r="AN47" s="8"/>
      <x:c r="AO47" s="8"/>
      <x:c r="AP47" s="8">
        <x:v>8.6</x:v>
      </x:c>
      <x:c r="AQ47" s="8"/>
      <x:c r="AR47" s="8"/>
      <x:c r="AS47" s="8"/>
      <x:c r="AT47" s="8"/>
      <x:c r="AU47" s="8" t="str">
        <x:v>Relevant non-partner sexual violence table, Sexual violence by a non-partner, Domestic violence chapter, Rwanda DHS 2019–20 Final Report (2021). Needs review: Confirm that 8.6 refers to non-partner violence in the past 12 months rather than ever experienced.</x:v>
      </x:c>
    </x:row>
    <x:row r="48" ht="26.399999618530273" hidden="0" customHeight="1">
      <x:c r="A48" s="8" t="s">
        <x:v>269</x:v>
      </x:c>
      <x:c r="B48" s="8" t="s">
        <x:v>270</x:v>
      </x:c>
      <x:c r="C48" s="8" t="s">
        <x:v>271</x:v>
      </x:c>
      <x:c r="D48" s="8" t="s">
        <x:v>25</x:v>
      </x:c>
      <x:c r="E48" s="8" t="s">
        <x:v>26</x:v>
      </x:c>
      <x:c r="F48" s="8"/>
      <x:c r="G48" s="8" t="s">
        <x:v>25</x:v>
      </x:c>
      <x:c r="H48" s="8" t="s">
        <x:v>27</x:v>
      </x:c>
      <x:c r="I48" s="8"/>
      <x:c r="J48" s="8"/>
      <x:c r="K48" s="8"/>
      <x:c r="L48" s="8" t="s">
        <x:v>25</x:v>
      </x:c>
      <x:c r="M48" s="8"/>
      <x:c r="N48" s="8" t="s">
        <x:v>25</x:v>
      </x:c>
      <x:c r="O48" s="8" t="s">
        <x:v>94</x:v>
      </x:c>
      <x:c r="P48" s="8" t="s">
        <x:v>272</x:v>
      </x:c>
      <x:c r="Q48" s="8"/>
      <x:c r="R48" s="8" t="s">
        <x:v>273</x:v>
      </x:c>
      <x:c r="S48" s="8" t="s">
        <x:v>274</x:v>
      </x:c>
      <x:c r="T48" s="8" t="s">
        <x:v>163</x:v>
      </x:c>
      <x:c r="U48" s="8" t="s">
        <x:v>164</x:v>
      </x:c>
      <x:c r="V48" s="8"/>
      <x:c r="W48" s="8"/>
      <x:c r="X48" s="8"/>
      <x:c r="Y48" s="8"/>
      <x:c r="Z48" s="8"/>
      <x:c r="AA48" s="8"/>
      <x:c r="AB48" s="8"/>
      <x:c r="AC48" s="8"/>
      <x:c r="AD48" s="8"/>
      <x:c r="AE48" s="8"/>
      <x:c r="AF48" s="8"/>
      <x:c r="AG48" s="8"/>
      <x:c r="AH48" s="8"/>
      <x:c r="AI48" s="8"/>
      <x:c r="AJ48" s="8"/>
      <x:c r="AK48" s="8">
        <x:v>0.4</x:v>
      </x:c>
      <x:c r="AL48" s="8"/>
      <x:c r="AM48" s="8"/>
      <x:c r="AN48" s="8"/>
      <x:c r="AO48" s="8"/>
      <x:c r="AP48" s="8">
        <x:v>0.3</x:v>
      </x:c>
      <x:c r="AQ48" s="8"/>
      <x:c r="AR48" s="8"/>
      <x:c r="AS48" s="8"/>
      <x:c r="AT48" s="8"/>
      <x:c r="AU48" s="8" t="str">
        <x:v>Table 4.3, Age at first marriage, SDG summary p. xxviii, Rwanda DHS 2019–20 Final Report (2021)</x:v>
      </x:c>
    </x:row>
    <x:row r="49" ht="52.79999923706055" hidden="0" customHeight="1">
      <x:c r="A49" s="8" t="s">
        <x:v>275</x:v>
      </x:c>
      <x:c r="B49" s="13" t="s">
        <x:v>276</x:v>
      </x:c>
      <x:c r="C49" s="8" t="s">
        <x:v>277</x:v>
      </x:c>
      <x:c r="D49" s="8" t="s">
        <x:v>25</x:v>
      </x:c>
      <x:c r="E49" s="8" t="s">
        <x:v>53</x:v>
      </x:c>
      <x:c r="F49" s="8"/>
      <x:c r="G49" s="8" t="s">
        <x:v>25</x:v>
      </x:c>
      <x:c r="H49" s="8" t="s">
        <x:v>27</x:v>
      </x:c>
      <x:c r="I49" s="8"/>
      <x:c r="J49" s="8"/>
      <x:c r="K49" s="8"/>
      <x:c r="L49" s="8" t="s">
        <x:v>25</x:v>
      </x:c>
      <x:c r="M49" s="8"/>
      <x:c r="N49" s="8" t="s">
        <x:v>25</x:v>
      </x:c>
      <x:c r="O49" s="8" t="s">
        <x:v>278</x:v>
      </x:c>
      <x:c r="P49" s="8" t="s">
        <x:v>279</x:v>
      </x:c>
      <x:c r="Q49" s="8"/>
      <x:c r="R49" s="8" t="s">
        <x:v>25</x:v>
      </x:c>
      <x:c r="S49" s="8"/>
      <x:c r="T49" s="8" t="s">
        <x:v>25</x:v>
      </x:c>
      <x:c r="U49" s="8"/>
      <x:c r="V49" s="8"/>
      <x:c r="W49" s="8"/>
      <x:c r="X49" s="8"/>
      <x:c r="Y49" s="8"/>
      <x:c r="Z49" s="8"/>
      <x:c r="AA49" s="8"/>
      <x:c r="AB49" s="8"/>
      <x:c r="AC49" s="8"/>
      <x:c r="AD49" s="8"/>
      <x:c r="AE49" s="8"/>
      <x:c r="AF49" s="8"/>
      <x:c r="AG49" s="8"/>
      <x:c r="AH49" s="8"/>
      <x:c r="AI49" s="8"/>
      <x:c r="AJ49" s="8"/>
      <x:c r="AK49" s="8"/>
      <x:c r="AL49" s="8"/>
      <x:c r="AM49" s="8">
        <x:v>21.4</x:v>
      </x:c>
      <x:c r="AN49" s="8">
        <x:v>20.6</x:v>
      </x:c>
      <x:c r="AO49" s="8">
        <x:v>17.899999999999999</x:v>
      </x:c>
      <x:c r="AP49" s="8"/>
      <x:c r="AQ49" s="8">
        <x:v>17.899999999999999</x:v>
      </x:c>
      <x:c r="AR49" s="8">
        <x:v>17.3</x:v>
      </x:c>
      <x:c r="AS49" s="8">
        <x:v>19.5</x:v>
      </x:c>
      <x:c r="AT49" s="8">
        <x:v>17.7</x:v>
      </x:c>
      <x:c r="AU49" s="8" t="str">
        <x:v>Time spent on unpaid care work, Time-use/unpaid work item, Labour Force Survey Annual Report 2024 (2025). Needs review: The LFS annual report does not expose a verified numbered table matching this derived indicator; likely requires microdata/direct Excel output.</x:v>
      </x:c>
    </x:row>
    <x:row r="50" ht="26.399999618530273" hidden="1" customHeight="1">
      <x:c r="A50" s="8" t="s">
        <x:v>280</x:v>
      </x:c>
      <x:c r="B50" s="8" t="s">
        <x:v>281</x:v>
      </x:c>
      <x:c r="C50" s="8" t="s">
        <x:v>282</x:v>
      </x:c>
      <x:c r="D50" s="8" t="s">
        <x:v>25</x:v>
      </x:c>
      <x:c r="E50" s="8" t="s">
        <x:v>26</x:v>
      </x:c>
      <x:c r="F50" s="8"/>
      <x:c r="G50" s="8" t="s">
        <x:v>25</x:v>
      </x:c>
      <x:c r="H50" s="8" t="s">
        <x:v>27</x:v>
      </x:c>
      <x:c r="I50" s="8"/>
      <x:c r="J50" s="8"/>
      <x:c r="K50" s="8"/>
      <x:c r="L50" s="8" t="s">
        <x:v>25</x:v>
      </x:c>
      <x:c r="M50" s="8"/>
      <x:c r="N50" s="8" t="s">
        <x:v>25</x:v>
      </x:c>
      <x:c r="O50" s="8" t="s">
        <x:v>283</x:v>
      </x:c>
      <x:c r="P50" s="8" t="s">
        <x:v>284</x:v>
      </x:c>
      <x:c r="Q50" s="8" t="s">
        <x:v>285</x:v>
      </x:c>
      <x:c r="R50" s="8" t="s">
        <x:v>25</x:v>
      </x:c>
      <x:c r="S50" s="8"/>
      <x:c r="T50" s="8" t="s">
        <x:v>25</x:v>
      </x:c>
      <x:c r="U50" s="8"/>
      <x:c r="V50" s="8"/>
      <x:c r="W50" s="8"/>
      <x:c r="X50" s="8"/>
      <x:c r="Y50" s="8"/>
      <x:c r="Z50" s="8"/>
      <x:c r="AA50" s="8"/>
      <x:c r="AB50" s="8"/>
      <x:c r="AC50" s="8"/>
      <x:c r="AD50" s="8"/>
      <x:c r="AE50" s="8"/>
      <x:c r="AF50" s="8"/>
      <x:c r="AG50" s="8"/>
      <x:c r="AH50" s="8"/>
      <x:c r="AI50" s="8"/>
      <x:c r="AJ50" s="8">
        <x:v>56.4</x:v>
      </x:c>
      <x:c r="AK50" s="8"/>
      <x:c r="AL50" s="11">
        <x:v>64</x:v>
      </x:c>
      <x:c r="AM50" s="8"/>
      <x:c r="AN50" s="11">
        <x:v>61</x:v>
      </x:c>
      <x:c r="AO50" s="8">
        <x:v>61.3</x:v>
      </x:c>
      <x:c r="AP50" s="8">
        <x:v>61.3</x:v>
      </x:c>
      <x:c r="AQ50" s="8">
        <x:v>61.3</x:v>
      </x:c>
      <x:c r="AR50" s="8">
        <x:v>61.3</x:v>
      </x:c>
      <x:c r="AS50" s="11">
        <x:v>61</x:v>
      </x:c>
      <x:c r="AT50" s="11">
        <x:v>63.75</x:v>
      </x:c>
      <x:c r="AU50" s="8" t="str">
        <x:v>Not applicable—source is not an NISR publication: National Electoral Commission (NEC), GMO.</x:v>
      </x:c>
    </x:row>
    <x:row r="51" ht="39.599998474121094" hidden="0" customHeight="1">
      <x:c r="A51" s="8" t="s">
        <x:v>286</x:v>
      </x:c>
      <x:c r="B51" s="13" t="s">
        <x:v>287</x:v>
      </x:c>
      <x:c r="C51" s="8" t="s">
        <x:v>288</x:v>
      </x:c>
      <x:c r="D51" s="8" t="s">
        <x:v>25</x:v>
      </x:c>
      <x:c r="E51" s="8" t="s">
        <x:v>26</x:v>
      </x:c>
      <x:c r="F51" s="8"/>
      <x:c r="G51" s="8" t="s">
        <x:v>25</x:v>
      </x:c>
      <x:c r="H51" s="8" t="s">
        <x:v>27</x:v>
      </x:c>
      <x:c r="I51" s="8"/>
      <x:c r="J51" s="8"/>
      <x:c r="K51" s="8"/>
      <x:c r="L51" s="8" t="s">
        <x:v>25</x:v>
      </x:c>
      <x:c r="M51" s="8"/>
      <x:c r="N51" s="8" t="s">
        <x:v>25</x:v>
      </x:c>
      <x:c r="O51" s="8" t="s">
        <x:v>278</x:v>
      </x:c>
      <x:c r="P51" s="8" t="s">
        <x:v>289</x:v>
      </x:c>
      <x:c r="Q51" s="8"/>
      <x:c r="R51" s="8" t="s">
        <x:v>25</x:v>
      </x:c>
      <x:c r="S51" s="8"/>
      <x:c r="T51" s="8" t="s">
        <x:v>163</x:v>
      </x:c>
      <x:c r="U51" s="8" t="s">
        <x:v>164</x:v>
      </x:c>
      <x:c r="V51" s="8"/>
      <x:c r="W51" s="8"/>
      <x:c r="X51" s="8"/>
      <x:c r="Y51" s="8"/>
      <x:c r="Z51" s="8"/>
      <x:c r="AA51" s="8"/>
      <x:c r="AB51" s="8"/>
      <x:c r="AC51" s="8"/>
      <x:c r="AD51" s="8"/>
      <x:c r="AE51" s="8"/>
      <x:c r="AF51" s="8"/>
      <x:c r="AG51" s="8"/>
      <x:c r="AH51" s="8"/>
      <x:c r="AI51" s="8"/>
      <x:c r="AJ51" s="8"/>
      <x:c r="AK51" s="8"/>
      <x:c r="AL51" s="8">
        <x:v>26.9</x:v>
      </x:c>
      <x:c r="AM51" s="8">
        <x:v>29.5</x:v>
      </x:c>
      <x:c r="AN51" s="8">
        <x:v>34.1</x:v>
      </x:c>
      <x:c r="AO51" s="8">
        <x:v>32.5</x:v>
      </x:c>
      <x:c r="AP51" s="8"/>
      <x:c r="AQ51" s="8">
        <x:v>34.799999999999997</x:v>
      </x:c>
      <x:c r="AR51" s="8">
        <x:v>26.1</x:v>
      </x:c>
      <x:c r="AS51" s="8">
        <x:v>39.6</x:v>
      </x:c>
      <x:c r="AT51" s="8"/>
      <x:c r="AU51" s="8" t="str">
        <x:v>Women in managerial positions, Employment by occupation section, Labour Force Survey Annual Report 2024 (2025). Needs review: Confirm occupation-code definition and denominator before automation.</x:v>
      </x:c>
    </x:row>
    <x:row r="52" ht="52.79999923706055" hidden="0" customHeight="1">
      <x:c r="A52" s="8" t="s">
        <x:v>290</x:v>
      </x:c>
      <x:c r="B52" s="8" t="s">
        <x:v>291</x:v>
      </x:c>
      <x:c r="C52" s="8" t="s">
        <x:v>292</x:v>
      </x:c>
      <x:c r="D52" s="8" t="s">
        <x:v>25</x:v>
      </x:c>
      <x:c r="E52" s="8" t="s">
        <x:v>26</x:v>
      </x:c>
      <x:c r="F52" s="8"/>
      <x:c r="G52" s="8" t="s">
        <x:v>25</x:v>
      </x:c>
      <x:c r="H52" s="8" t="s">
        <x:v>27</x:v>
      </x:c>
      <x:c r="I52" s="8"/>
      <x:c r="J52" s="8"/>
      <x:c r="K52" s="8"/>
      <x:c r="L52" s="8" t="s">
        <x:v>25</x:v>
      </x:c>
      <x:c r="M52" s="8"/>
      <x:c r="N52" s="8" t="s">
        <x:v>25</x:v>
      </x:c>
      <x:c r="O52" s="8" t="s">
        <x:v>94</x:v>
      </x:c>
      <x:c r="P52" s="8" t="s">
        <x:v>293</x:v>
      </x:c>
      <x:c r="Q52" s="8"/>
      <x:c r="R52" s="8" t="s">
        <x:v>25</x:v>
      </x:c>
      <x:c r="S52" s="8"/>
      <x:c r="T52" s="8" t="s">
        <x:v>163</x:v>
      </x:c>
      <x:c r="U52" s="8" t="s">
        <x:v>164</x:v>
      </x:c>
      <x:c r="V52" s="8"/>
      <x:c r="W52" s="8"/>
      <x:c r="X52" s="8"/>
      <x:c r="Y52" s="8"/>
      <x:c r="Z52" s="8"/>
      <x:c r="AA52" s="8"/>
      <x:c r="AB52" s="8"/>
      <x:c r="AC52" s="8"/>
      <x:c r="AD52" s="8"/>
      <x:c r="AE52" s="8"/>
      <x:c r="AF52" s="8"/>
      <x:c r="AG52" s="8"/>
      <x:c r="AH52" s="8"/>
      <x:c r="AI52" s="8"/>
      <x:c r="AJ52" s="8"/>
      <x:c r="AK52" s="8"/>
      <x:c r="AL52" s="8"/>
      <x:c r="AM52" s="8"/>
      <x:c r="AN52" s="8"/>
      <x:c r="AO52" s="8"/>
      <x:c r="AP52" s="8">
        <x:v>63.1</x:v>
      </x:c>
      <x:c r="AQ52" s="8"/>
      <x:c r="AR52" s="8"/>
      <x:c r="AS52" s="8"/>
      <x:c r="AT52" s="8"/>
      <x:c r="AU52" s="8" t="str">
        <x:v>SDG 5.6.1 summary (no source table number shown), Informed decisions regarding sexual relations, contraceptive use and reproductive health care, SDG summary p. xxviii, Rwanda DHS 2019–20 Final Report (2021). Needs review: Value 63.1 is shown in the report’s SDG summary, but the underlying numbered table was not identified.</x:v>
      </x:c>
    </x:row>
    <x:row r="53" ht="14.399999618530273" hidden="1" customHeight="1">
      <x:c r="A53" s="8" t="s">
        <x:v>294</x:v>
      </x:c>
      <x:c r="B53" s="8" t="s">
        <x:v>295</x:v>
      </x:c>
      <x:c r="C53" s="8" t="s">
        <x:v>296</x:v>
      </x:c>
      <x:c r="D53" s="8" t="s">
        <x:v>25</x:v>
      </x:c>
      <x:c r="E53" s="8" t="s">
        <x:v>26</x:v>
      </x:c>
      <x:c r="F53" s="8"/>
      <x:c r="G53" s="8" t="s">
        <x:v>25</x:v>
      </x:c>
      <x:c r="H53" s="8" t="s">
        <x:v>27</x:v>
      </x:c>
      <x:c r="I53" s="8"/>
      <x:c r="J53" s="8"/>
      <x:c r="K53" s="8"/>
      <x:c r="L53" s="8" t="s">
        <x:v>25</x:v>
      </x:c>
      <x:c r="M53" s="8"/>
      <x:c r="N53" s="8" t="s">
        <x:v>25</x:v>
      </x:c>
      <x:c r="O53" s="8" t="s">
        <x:v>297</x:v>
      </x:c>
      <x:c r="P53" s="8" t="s">
        <x:v>298</x:v>
      </x:c>
      <x:c r="Q53" s="8"/>
      <x:c r="R53" s="8" t="s">
        <x:v>25</x:v>
      </x:c>
      <x:c r="S53" s="8"/>
      <x:c r="T53" s="8" t="s">
        <x:v>163</x:v>
      </x:c>
      <x:c r="U53" s="8" t="s">
        <x:v>164</x:v>
      </x:c>
      <x:c r="V53" s="8"/>
      <x:c r="W53" s="8"/>
      <x:c r="X53" s="8"/>
      <x:c r="Y53" s="8"/>
      <x:c r="Z53" s="8"/>
      <x:c r="AA53" s="8"/>
      <x:c r="AB53" s="8"/>
      <x:c r="AC53" s="8"/>
      <x:c r="AD53" s="8"/>
      <x:c r="AE53" s="8"/>
      <x:c r="AF53" s="8"/>
      <x:c r="AG53" s="8"/>
      <x:c r="AH53" s="8"/>
      <x:c r="AI53" s="8"/>
      <x:c r="AJ53" s="8"/>
      <x:c r="AK53" s="8"/>
      <x:c r="AL53" s="8"/>
      <x:c r="AM53" s="8"/>
      <x:c r="AN53" s="8"/>
      <x:c r="AO53" s="8">
        <x:v>25</x:v>
      </x:c>
      <x:c r="AP53" s="8"/>
      <x:c r="AQ53" s="8"/>
      <x:c r="AR53" s="8"/>
      <x:c r="AS53" s="8"/>
      <x:c r="AT53" s="8"/>
      <x:c r="AU53" s="8" t="str">
        <x:v>Not applicable—source is not an NISR publication: RLMUA.</x:v>
      </x:c>
    </x:row>
    <x:row r="54" ht="26.399999618530273" hidden="1" customHeight="1">
      <x:c r="A54" s="8" t="s">
        <x:v>299</x:v>
      </x:c>
      <x:c r="B54" s="8" t="s">
        <x:v>300</x:v>
      </x:c>
      <x:c r="C54" s="8" t="s">
        <x:v>301</x:v>
      </x:c>
      <x:c r="D54" s="8" t="s">
        <x:v>25</x:v>
      </x:c>
      <x:c r="E54" s="8" t="s">
        <x:v>26</x:v>
      </x:c>
      <x:c r="F54" s="8"/>
      <x:c r="G54" s="8" t="s">
        <x:v>25</x:v>
      </x:c>
      <x:c r="H54" s="8" t="s">
        <x:v>27</x:v>
      </x:c>
      <x:c r="I54" s="8"/>
      <x:c r="J54" s="8"/>
      <x:c r="K54" s="8"/>
      <x:c r="L54" s="8" t="s">
        <x:v>25</x:v>
      </x:c>
      <x:c r="M54" s="8"/>
      <x:c r="N54" s="8" t="s">
        <x:v>25</x:v>
      </x:c>
      <x:c r="O54" s="8" t="s">
        <x:v>302</x:v>
      </x:c>
      <x:c r="P54" s="8" t="s">
        <x:v>303</x:v>
      </x:c>
      <x:c r="Q54" s="8"/>
      <x:c r="R54" s="8" t="s">
        <x:v>25</x:v>
      </x:c>
      <x:c r="S54" s="8"/>
      <x:c r="T54" s="8" t="s">
        <x:v>25</x:v>
      </x:c>
      <x:c r="U54" s="8"/>
      <x:c r="V54" s="8"/>
      <x:c r="W54" s="8"/>
      <x:c r="X54" s="8"/>
      <x:c r="Y54" s="8"/>
      <x:c r="Z54" s="8"/>
      <x:c r="AA54" s="8"/>
      <x:c r="AB54" s="8"/>
      <x:c r="AC54" s="8"/>
      <x:c r="AD54" s="8"/>
      <x:c r="AE54" s="8"/>
      <x:c r="AF54" s="8"/>
      <x:c r="AG54" s="8"/>
      <x:c r="AH54" s="8"/>
      <x:c r="AI54" s="8"/>
      <x:c r="AJ54" s="8"/>
      <x:c r="AK54" s="8"/>
      <x:c r="AL54" s="8"/>
      <x:c r="AM54" s="8">
        <x:v>36.700000000000003</x:v>
      </x:c>
      <x:c r="AN54" s="8"/>
      <x:c r="AO54" s="8"/>
      <x:c r="AP54" s="8">
        <x:v>54.8</x:v>
      </x:c>
      <x:c r="AQ54" s="8"/>
      <x:c r="AR54" s="8">
        <x:v>58.6</x:v>
      </x:c>
      <x:c r="AS54" s="8"/>
      <x:c r="AT54" s="11">
        <x:v>85</x:v>
      </x:c>
      <x:c r="AU54" s="8" t="str">
        <x:v>NISR-related source stated as “EICV and RPHC5/2022”; exact report/table/page not verified. Needs review—no reference has been invented.</x:v>
      </x:c>
    </x:row>
    <x:row r="55" ht="26.399999618530273" hidden="1" customHeight="1">
      <x:c r="A55" s="8" t="s">
        <x:v>304</x:v>
      </x:c>
      <x:c r="B55" s="8" t="s">
        <x:v>305</x:v>
      </x:c>
      <x:c r="C55" s="8" t="s">
        <x:v>306</x:v>
      </x:c>
      <x:c r="D55" s="8" t="s">
        <x:v>25</x:v>
      </x:c>
      <x:c r="E55" s="8" t="s">
        <x:v>26</x:v>
      </x:c>
      <x:c r="F55" s="8"/>
      <x:c r="G55" s="8" t="s">
        <x:v>25</x:v>
      </x:c>
      <x:c r="H55" s="8" t="s">
        <x:v>27</x:v>
      </x:c>
      <x:c r="I55" s="8"/>
      <x:c r="J55" s="8"/>
      <x:c r="K55" s="8"/>
      <x:c r="L55" s="8" t="s">
        <x:v>25</x:v>
      </x:c>
      <x:c r="M55" s="8"/>
      <x:c r="N55" s="8" t="s">
        <x:v>25</x:v>
      </x:c>
      <x:c r="O55" s="8" t="s">
        <x:v>307</x:v>
      </x:c>
      <x:c r="P55" s="8" t="s">
        <x:v>308</x:v>
      </x:c>
      <x:c r="Q55" s="8"/>
      <x:c r="R55" s="8" t="s">
        <x:v>25</x:v>
      </x:c>
      <x:c r="S55" s="8"/>
      <x:c r="T55" s="8" t="s">
        <x:v>25</x:v>
      </x:c>
      <x:c r="U55" s="8"/>
      <x:c r="V55" s="8"/>
      <x:c r="W55" s="8"/>
      <x:c r="X55" s="8"/>
      <x:c r="Y55" s="8"/>
      <x:c r="Z55" s="8"/>
      <x:c r="AA55" s="8"/>
      <x:c r="AB55" s="8"/>
      <x:c r="AC55" s="8"/>
      <x:c r="AD55" s="8"/>
      <x:c r="AE55" s="8"/>
      <x:c r="AF55" s="8">
        <x:v>74</x:v>
      </x:c>
      <x:c r="AG55" s="8"/>
      <x:c r="AH55" s="8"/>
      <x:c r="AI55" s="8"/>
      <x:c r="AJ55" s="8"/>
      <x:c r="AK55" s="8">
        <x:v>73</x:v>
      </x:c>
      <x:c r="AL55" s="8"/>
      <x:c r="AM55" s="8"/>
      <x:c r="AN55" s="8"/>
      <x:c r="AO55" s="8"/>
      <x:c r="AP55" s="8">
        <x:v>80</x:v>
      </x:c>
      <x:c r="AQ55" s="8"/>
      <x:c r="AR55" s="8">
        <x:v>82</x:v>
      </x:c>
      <x:c r="AS55" s="8"/>
      <x:c r="AT55" s="8"/>
      <x:c r="AU55" s="8" t="str">
        <x:v>NISR-related source stated as “RDHC nad RPHC5/2022”; exact report/table/page not verified. Needs review—no reference has been invented.</x:v>
      </x:c>
    </x:row>
    <x:row r="56" ht="26.399999618530273" hidden="1" customHeight="1">
      <x:c r="A56" s="8" t="s">
        <x:v>309</x:v>
      </x:c>
      <x:c r="B56" s="8" t="s">
        <x:v>310</x:v>
      </x:c>
      <x:c r="C56" s="8" t="s">
        <x:v>311</x:v>
      </x:c>
      <x:c r="D56" s="8" t="s">
        <x:v>25</x:v>
      </x:c>
      <x:c r="E56" s="8" t="s">
        <x:v>26</x:v>
      </x:c>
      <x:c r="F56" s="8"/>
      <x:c r="G56" s="8" t="s">
        <x:v>25</x:v>
      </x:c>
      <x:c r="H56" s="8" t="s">
        <x:v>27</x:v>
      </x:c>
      <x:c r="I56" s="8"/>
      <x:c r="J56" s="8"/>
      <x:c r="K56" s="8"/>
      <x:c r="L56" s="8" t="s">
        <x:v>25</x:v>
      </x:c>
      <x:c r="M56" s="8"/>
      <x:c r="N56" s="8" t="s">
        <x:v>25</x:v>
      </x:c>
      <x:c r="O56" s="8" t="s">
        <x:v>307</x:v>
      </x:c>
      <x:c r="P56" s="8" t="s">
        <x:v>312</x:v>
      </x:c>
      <x:c r="Q56" s="8"/>
      <x:c r="R56" s="8" t="s">
        <x:v>25</x:v>
      </x:c>
      <x:c r="S56" s="8"/>
      <x:c r="T56" s="8" t="s">
        <x:v>25</x:v>
      </x:c>
      <x:c r="U56" s="8"/>
      <x:c r="V56" s="8"/>
      <x:c r="W56" s="8"/>
      <x:c r="X56" s="8"/>
      <x:c r="Y56" s="8"/>
      <x:c r="Z56" s="8"/>
      <x:c r="AA56" s="8"/>
      <x:c r="AB56" s="8"/>
      <x:c r="AC56" s="8"/>
      <x:c r="AD56" s="8"/>
      <x:c r="AE56" s="8"/>
      <x:c r="AF56" s="8">
        <x:v>55</x:v>
      </x:c>
      <x:c r="AG56" s="8"/>
      <x:c r="AH56" s="8"/>
      <x:c r="AI56" s="8"/>
      <x:c r="AJ56" s="8"/>
      <x:c r="AK56" s="8">
        <x:v>54</x:v>
      </x:c>
      <x:c r="AL56" s="8"/>
      <x:c r="AM56" s="8"/>
      <x:c r="AN56" s="8"/>
      <x:c r="AO56" s="8"/>
      <x:c r="AP56" s="8">
        <x:v>72</x:v>
      </x:c>
      <x:c r="AQ56" s="8"/>
      <x:c r="AR56" s="8">
        <x:v>72</x:v>
      </x:c>
      <x:c r="AS56" s="8"/>
      <x:c r="AT56" s="8"/>
      <x:c r="AU56" s="8" t="str">
        <x:v>NISR-related source stated as “RDHC nad RPHC5/2022”; exact report/table/page not verified. Needs review—no reference has been invented.</x:v>
      </x:c>
    </x:row>
    <x:row r="57" ht="14.399999618530273" hidden="1" customHeight="1">
      <x:c r="A57" s="8" t="s">
        <x:v>313</x:v>
      </x:c>
      <x:c r="B57" s="8" t="s">
        <x:v>314</x:v>
      </x:c>
      <x:c r="C57" s="8" t="s">
        <x:v>315</x:v>
      </x:c>
      <x:c r="D57" s="8" t="s">
        <x:v>25</x:v>
      </x:c>
      <x:c r="E57" s="8" t="s">
        <x:v>26</x:v>
      </x:c>
      <x:c r="F57" s="8"/>
      <x:c r="G57" s="8" t="s">
        <x:v>25</x:v>
      </x:c>
      <x:c r="H57" s="8" t="s">
        <x:v>27</x:v>
      </x:c>
      <x:c r="I57" s="8"/>
      <x:c r="J57" s="8"/>
      <x:c r="K57" s="8"/>
      <x:c r="L57" s="8" t="s">
        <x:v>25</x:v>
      </x:c>
      <x:c r="M57" s="8"/>
      <x:c r="N57" s="8" t="s">
        <x:v>25</x:v>
      </x:c>
      <x:c r="O57" s="8" t="s">
        <x:v>316</x:v>
      </x:c>
      <x:c r="P57" s="8" t="s">
        <x:v>317</x:v>
      </x:c>
      <x:c r="Q57" s="8"/>
      <x:c r="R57" s="8" t="s">
        <x:v>25</x:v>
      </x:c>
      <x:c r="S57" s="8"/>
      <x:c r="T57" s="8" t="s">
        <x:v>25</x:v>
      </x:c>
      <x:c r="U57" s="8"/>
      <x:c r="V57" s="8"/>
      <x:c r="W57" s="8"/>
      <x:c r="X57" s="8"/>
      <x:c r="Y57" s="8"/>
      <x:c r="Z57" s="8"/>
      <x:c r="AA57" s="8"/>
      <x:c r="AB57" s="8"/>
      <x:c r="AC57" s="8"/>
      <x:c r="AD57" s="8"/>
      <x:c r="AE57" s="8"/>
      <x:c r="AF57" s="8"/>
      <x:c r="AG57" s="8"/>
      <x:c r="AH57" s="8"/>
      <x:c r="AI57" s="8"/>
      <x:c r="AJ57" s="8"/>
      <x:c r="AK57" s="8"/>
      <x:c r="AL57" s="8"/>
      <x:c r="AM57" s="8">
        <x:v>79</x:v>
      </x:c>
      <x:c r="AN57" s="8">
        <x:v>15</x:v>
      </x:c>
      <x:c r="AO57" s="8"/>
      <x:c r="AP57" s="8">
        <x:v>79</x:v>
      </x:c>
      <x:c r="AQ57" s="8"/>
      <x:c r="AR57" s="8"/>
      <x:c r="AS57" s="8"/>
      <x:c r="AT57" s="8"/>
      <x:c r="AU57" s="8" t="str">
        <x:v>Not applicable—source is not an NISR publication: RWB.</x:v>
      </x:c>
    </x:row>
    <x:row r="58" ht="14.399999618530273" hidden="1" customHeight="1">
      <x:c r="A58" s="8" t="s">
        <x:v>318</x:v>
      </x:c>
      <x:c r="B58" s="8" t="s">
        <x:v>319</x:v>
      </x:c>
      <x:c r="C58" s="8" t="s">
        <x:v>320</x:v>
      </x:c>
      <x:c r="D58" s="8" t="s">
        <x:v>25</x:v>
      </x:c>
      <x:c r="E58" s="8" t="s">
        <x:v>321</x:v>
      </x:c>
      <x:c r="F58" s="8"/>
      <x:c r="G58" s="8" t="s">
        <x:v>25</x:v>
      </x:c>
      <x:c r="H58" s="8" t="s">
        <x:v>27</x:v>
      </x:c>
      <x:c r="I58" s="8"/>
      <x:c r="J58" s="8"/>
      <x:c r="K58" s="8"/>
      <x:c r="L58" s="8" t="s">
        <x:v>25</x:v>
      </x:c>
      <x:c r="M58" s="8"/>
      <x:c r="N58" s="8" t="s">
        <x:v>25</x:v>
      </x:c>
      <x:c r="O58" s="8" t="s">
        <x:v>316</x:v>
      </x:c>
      <x:c r="P58" s="8" t="s">
        <x:v>322</x:v>
      </x:c>
      <x:c r="Q58" s="8"/>
      <x:c r="R58" s="8" t="s">
        <x:v>25</x:v>
      </x:c>
      <x:c r="S58" s="8"/>
      <x:c r="T58" s="8" t="s">
        <x:v>25</x:v>
      </x:c>
      <x:c r="U58" s="8"/>
      <x:c r="V58" s="8"/>
      <x:c r="W58" s="8"/>
      <x:c r="X58" s="8"/>
      <x:c r="Y58" s="8"/>
      <x:c r="Z58" s="8"/>
      <x:c r="AA58" s="8"/>
      <x:c r="AB58" s="8"/>
      <x:c r="AC58" s="8"/>
      <x:c r="AD58" s="8"/>
      <x:c r="AE58" s="8"/>
      <x:c r="AF58" s="8"/>
      <x:c r="AG58" s="8"/>
      <x:c r="AH58" s="8"/>
      <x:c r="AI58" s="8"/>
      <x:c r="AJ58" s="8"/>
      <x:c r="AK58" s="8"/>
      <x:c r="AL58" s="8"/>
      <x:c r="AM58" s="8"/>
      <x:c r="AN58" s="8"/>
      <x:c r="AO58" s="8"/>
      <x:c r="AP58" s="11">
        <x:v>12.87</x:v>
      </x:c>
      <x:c r="AQ58" s="8"/>
      <x:c r="AR58" s="8"/>
      <x:c r="AS58" s="8"/>
      <x:c r="AT58" s="8"/>
      <x:c r="AU58" s="8" t="str">
        <x:v>Not applicable—source is not an NISR publication: RWB.</x:v>
      </x:c>
    </x:row>
    <x:row r="59" ht="14.399999618530273" hidden="1" customHeight="1">
      <x:c r="A59" s="8" t="s">
        <x:v>323</x:v>
      </x:c>
      <x:c r="B59" s="8" t="s">
        <x:v>324</x:v>
      </x:c>
      <x:c r="C59" s="8" t="s">
        <x:v>325</x:v>
      </x:c>
      <x:c r="D59" s="8" t="s">
        <x:v>25</x:v>
      </x:c>
      <x:c r="E59" s="8" t="s">
        <x:v>26</x:v>
      </x:c>
      <x:c r="F59" s="8"/>
      <x:c r="G59" s="8" t="s">
        <x:v>25</x:v>
      </x:c>
      <x:c r="H59" s="8" t="s">
        <x:v>27</x:v>
      </x:c>
      <x:c r="I59" s="8"/>
      <x:c r="J59" s="8"/>
      <x:c r="K59" s="8"/>
      <x:c r="L59" s="8" t="s">
        <x:v>25</x:v>
      </x:c>
      <x:c r="M59" s="8"/>
      <x:c r="N59" s="8" t="s">
        <x:v>25</x:v>
      </x:c>
      <x:c r="O59" s="8" t="s">
        <x:v>316</x:v>
      </x:c>
      <x:c r="P59" s="8" t="s">
        <x:v>324</x:v>
      </x:c>
      <x:c r="Q59" s="8"/>
      <x:c r="R59" s="8" t="s">
        <x:v>25</x:v>
      </x:c>
      <x:c r="S59" s="8"/>
      <x:c r="T59" s="8" t="s">
        <x:v>25</x:v>
      </x:c>
      <x:c r="U59" s="8"/>
      <x:c r="V59" s="8"/>
      <x:c r="W59" s="8"/>
      <x:c r="X59" s="8"/>
      <x:c r="Y59" s="8"/>
      <x:c r="Z59" s="8"/>
      <x:c r="AA59" s="8"/>
      <x:c r="AB59" s="8"/>
      <x:c r="AC59" s="8"/>
      <x:c r="AD59" s="8"/>
      <x:c r="AE59" s="8"/>
      <x:c r="AF59" s="8"/>
      <x:c r="AG59" s="8"/>
      <x:c r="AH59" s="8"/>
      <x:c r="AI59" s="8"/>
      <x:c r="AJ59" s="8"/>
      <x:c r="AK59" s="8"/>
      <x:c r="AL59" s="8"/>
      <x:c r="AM59" s="8"/>
      <x:c r="AN59" s="11">
        <x:v>9</x:v>
      </x:c>
      <x:c r="AO59" s="8"/>
      <x:c r="AP59" s="11">
        <x:v>11.17</x:v>
      </x:c>
      <x:c r="AQ59" s="8"/>
      <x:c r="AR59" s="8"/>
      <x:c r="AS59" s="8"/>
      <x:c r="AT59" s="8"/>
      <x:c r="AU59" s="8" t="str">
        <x:v>Not applicable—source is not an NISR publication: RWB.</x:v>
      </x:c>
    </x:row>
    <x:row r="60" ht="14.399999618530273" hidden="1" customHeight="1">
      <x:c r="A60" s="8" t="s">
        <x:v>326</x:v>
      </x:c>
      <x:c r="B60" s="8" t="s">
        <x:v>327</x:v>
      </x:c>
      <x:c r="C60" s="8" t="s">
        <x:v>328</x:v>
      </x:c>
      <x:c r="D60" s="8" t="s">
        <x:v>25</x:v>
      </x:c>
      <x:c r="E60" s="8" t="s">
        <x:v>26</x:v>
      </x:c>
      <x:c r="F60" s="8"/>
      <x:c r="G60" s="8" t="s">
        <x:v>25</x:v>
      </x:c>
      <x:c r="H60" s="8" t="s">
        <x:v>27</x:v>
      </x:c>
      <x:c r="I60" s="8"/>
      <x:c r="J60" s="8"/>
      <x:c r="K60" s="8"/>
      <x:c r="L60" s="8" t="s">
        <x:v>25</x:v>
      </x:c>
      <x:c r="M60" s="8"/>
      <x:c r="N60" s="8" t="s">
        <x:v>25</x:v>
      </x:c>
      <x:c r="O60" s="8" t="s">
        <x:v>316</x:v>
      </x:c>
      <x:c r="P60" s="8" t="s">
        <x:v>329</x:v>
      </x:c>
      <x:c r="Q60" s="8"/>
      <x:c r="R60" s="8" t="s">
        <x:v>25</x:v>
      </x:c>
      <x:c r="S60" s="8"/>
      <x:c r="T60" s="8" t="s">
        <x:v>25</x:v>
      </x:c>
      <x:c r="U60" s="8"/>
      <x:c r="V60" s="8"/>
      <x:c r="W60" s="8"/>
      <x:c r="X60" s="8"/>
      <x:c r="Y60" s="8"/>
      <x:c r="Z60" s="8"/>
      <x:c r="AA60" s="8"/>
      <x:c r="AB60" s="8"/>
      <x:c r="AC60" s="8"/>
      <x:c r="AD60" s="8"/>
      <x:c r="AE60" s="8"/>
      <x:c r="AF60" s="8"/>
      <x:c r="AG60" s="8"/>
      <x:c r="AH60" s="8"/>
      <x:c r="AI60" s="8"/>
      <x:c r="AJ60" s="8"/>
      <x:c r="AK60" s="8"/>
      <x:c r="AL60" s="8"/>
      <x:c r="AM60" s="8"/>
      <x:c r="AN60" s="8">
        <x:v>50</x:v>
      </x:c>
      <x:c r="AO60" s="8"/>
      <x:c r="AP60" s="8">
        <x:v>66</x:v>
      </x:c>
      <x:c r="AQ60" s="8"/>
      <x:c r="AR60" s="8"/>
      <x:c r="AS60" s="8"/>
      <x:c r="AT60" s="8"/>
      <x:c r="AU60" s="8" t="str">
        <x:v>Not applicable—source is not an NISR publication: RWB.</x:v>
      </x:c>
    </x:row>
    <x:row r="61" ht="14.399999618530273" hidden="1" customHeight="1">
      <x:c r="A61" s="8" t="s">
        <x:v>330</x:v>
      </x:c>
      <x:c r="B61" s="8" t="s">
        <x:v>331</x:v>
      </x:c>
      <x:c r="C61" s="8" t="s">
        <x:v>332</x:v>
      </x:c>
      <x:c r="D61" s="8" t="s">
        <x:v>25</x:v>
      </x:c>
      <x:c r="E61" s="8" t="s">
        <x:v>26</x:v>
      </x:c>
      <x:c r="F61" s="8"/>
      <x:c r="G61" s="8" t="s">
        <x:v>25</x:v>
      </x:c>
      <x:c r="H61" s="8" t="s">
        <x:v>27</x:v>
      </x:c>
      <x:c r="I61" s="8"/>
      <x:c r="J61" s="8"/>
      <x:c r="K61" s="8"/>
      <x:c r="L61" s="8" t="s">
        <x:v>25</x:v>
      </x:c>
      <x:c r="M61" s="8"/>
      <x:c r="N61" s="8" t="s">
        <x:v>25</x:v>
      </x:c>
      <x:c r="O61" s="8" t="s">
        <x:v>316</x:v>
      </x:c>
      <x:c r="P61" s="8" t="s">
        <x:v>333</x:v>
      </x:c>
      <x:c r="Q61" s="8"/>
      <x:c r="R61" s="8" t="s">
        <x:v>25</x:v>
      </x:c>
      <x:c r="S61" s="8"/>
      <x:c r="T61" s="8" t="s">
        <x:v>25</x:v>
      </x:c>
      <x:c r="U61" s="8"/>
      <x:c r="V61" s="8"/>
      <x:c r="W61" s="8"/>
      <x:c r="X61" s="8"/>
      <x:c r="Y61" s="8"/>
      <x:c r="Z61" s="8"/>
      <x:c r="AA61" s="8"/>
      <x:c r="AB61" s="8"/>
      <x:c r="AC61" s="8"/>
      <x:c r="AD61" s="8"/>
      <x:c r="AE61" s="8"/>
      <x:c r="AF61" s="8"/>
      <x:c r="AG61" s="8"/>
      <x:c r="AH61" s="8"/>
      <x:c r="AI61" s="8"/>
      <x:c r="AJ61" s="8"/>
      <x:c r="AK61" s="8"/>
      <x:c r="AL61" s="8"/>
      <x:c r="AM61" s="8"/>
      <x:c r="AN61" s="8">
        <x:v>86</x:v>
      </x:c>
      <x:c r="AO61" s="8"/>
      <x:c r="AP61" s="8"/>
      <x:c r="AQ61" s="8"/>
      <x:c r="AR61" s="8"/>
      <x:c r="AS61" s="8"/>
      <x:c r="AT61" s="8"/>
      <x:c r="AU61" s="8" t="str">
        <x:v>Not applicable—source is not an NISR publication: RWB.</x:v>
      </x:c>
    </x:row>
    <x:row r="62" ht="14.399999618530273" hidden="1" customHeight="1">
      <x:c r="A62" s="8" t="s">
        <x:v>334</x:v>
      </x:c>
      <x:c r="B62" s="8" t="s">
        <x:v>335</x:v>
      </x:c>
      <x:c r="C62" s="8" t="s">
        <x:v>336</x:v>
      </x:c>
      <x:c r="D62" s="8" t="s">
        <x:v>25</x:v>
      </x:c>
      <x:c r="E62" s="8" t="s">
        <x:v>26</x:v>
      </x:c>
      <x:c r="F62" s="8"/>
      <x:c r="G62" s="8" t="s">
        <x:v>25</x:v>
      </x:c>
      <x:c r="H62" s="8" t="s">
        <x:v>27</x:v>
      </x:c>
      <x:c r="I62" s="8"/>
      <x:c r="J62" s="8"/>
      <x:c r="K62" s="8"/>
      <x:c r="L62" s="8" t="s">
        <x:v>25</x:v>
      </x:c>
      <x:c r="M62" s="8"/>
      <x:c r="N62" s="8" t="s">
        <x:v>25</x:v>
      </x:c>
      <x:c r="O62" s="8" t="s">
        <x:v>337</x:v>
      </x:c>
      <x:c r="P62" s="8" t="s">
        <x:v>338</x:v>
      </x:c>
      <x:c r="Q62" s="8"/>
      <x:c r="R62" s="8" t="s">
        <x:v>25</x:v>
      </x:c>
      <x:c r="S62" s="8"/>
      <x:c r="T62" s="8" t="s">
        <x:v>25</x:v>
      </x:c>
      <x:c r="U62" s="8"/>
      <x:c r="V62" s="8"/>
      <x:c r="W62" s="8"/>
      <x:c r="X62" s="8"/>
      <x:c r="Y62" s="8"/>
      <x:c r="Z62" s="8"/>
      <x:c r="AA62" s="8"/>
      <x:c r="AB62" s="8"/>
      <x:c r="AC62" s="8"/>
      <x:c r="AD62" s="8"/>
      <x:c r="AE62" s="8"/>
      <x:c r="AF62" s="8"/>
      <x:c r="AG62" s="8"/>
      <x:c r="AH62" s="8"/>
      <x:c r="AI62" s="8"/>
      <x:c r="AJ62" s="8"/>
      <x:c r="AK62" s="8"/>
      <x:c r="AL62" s="8">
        <x:v>0.9</x:v>
      </x:c>
      <x:c r="AM62" s="8"/>
      <x:c r="AN62" s="8"/>
      <x:c r="AO62" s="8"/>
      <x:c r="AP62" s="8"/>
      <x:c r="AQ62" s="8"/>
      <x:c r="AR62" s="8"/>
      <x:c r="AS62" s="8"/>
      <x:c r="AT62" s="8"/>
      <x:c r="AU62" s="8" t="str">
        <x:v>Not applicable—source is not an NISR publication: RWB, REMA, RFA.</x:v>
      </x:c>
    </x:row>
    <x:row r="63" ht="14.399999618530273" hidden="1" customHeight="1">
      <x:c r="A63" s="8" t="s">
        <x:v>339</x:v>
      </x:c>
      <x:c r="B63" s="8" t="s">
        <x:v>340</x:v>
      </x:c>
      <x:c r="C63" s="8" t="s">
        <x:v>341</x:v>
      </x:c>
      <x:c r="D63" s="8" t="s">
        <x:v>25</x:v>
      </x:c>
      <x:c r="E63" s="8" t="s">
        <x:v>26</x:v>
      </x:c>
      <x:c r="F63" s="8"/>
      <x:c r="G63" s="8" t="s">
        <x:v>25</x:v>
      </x:c>
      <x:c r="H63" s="8" t="s">
        <x:v>27</x:v>
      </x:c>
      <x:c r="I63" s="8"/>
      <x:c r="J63" s="8"/>
      <x:c r="K63" s="8"/>
      <x:c r="L63" s="8" t="s">
        <x:v>25</x:v>
      </x:c>
      <x:c r="M63" s="8"/>
      <x:c r="N63" s="8" t="s">
        <x:v>25</x:v>
      </x:c>
      <x:c r="O63" s="8" t="s">
        <x:v>342</x:v>
      </x:c>
      <x:c r="P63" s="8" t="s">
        <x:v>340</x:v>
      </x:c>
      <x:c r="Q63" s="8"/>
      <x:c r="R63" s="8" t="s">
        <x:v>25</x:v>
      </x:c>
      <x:c r="S63" s="8"/>
      <x:c r="T63" s="8" t="s">
        <x:v>25</x:v>
      </x:c>
      <x:c r="U63" s="8"/>
      <x:c r="V63" s="8"/>
      <x:c r="W63" s="8"/>
      <x:c r="X63" s="8"/>
      <x:c r="Y63" s="8"/>
      <x:c r="Z63" s="8"/>
      <x:c r="AA63" s="8"/>
      <x:c r="AB63" s="8"/>
      <x:c r="AC63" s="8"/>
      <x:c r="AD63" s="8"/>
      <x:c r="AE63" s="8"/>
      <x:c r="AF63" s="8">
        <x:v>1</x:v>
      </x:c>
      <x:c r="AG63" s="8">
        <x:v>1</x:v>
      </x:c>
      <x:c r="AH63" s="8">
        <x:v>1</x:v>
      </x:c>
      <x:c r="AI63" s="8">
        <x:v>1</x:v>
      </x:c>
      <x:c r="AJ63" s="8">
        <x:v>1</x:v>
      </x:c>
      <x:c r="AK63" s="8">
        <x:v>1</x:v>
      </x:c>
      <x:c r="AL63" s="8">
        <x:v>1</x:v>
      </x:c>
      <x:c r="AM63" s="8">
        <x:v>1</x:v>
      </x:c>
      <x:c r="AN63" s="8">
        <x:v>1</x:v>
      </x:c>
      <x:c r="AO63" s="8">
        <x:v>1</x:v>
      </x:c>
      <x:c r="AP63" s="8">
        <x:v>1</x:v>
      </x:c>
      <x:c r="AQ63" s="8">
        <x:v>1</x:v>
      </x:c>
      <x:c r="AR63" s="8">
        <x:v>1</x:v>
      </x:c>
      <x:c r="AS63" s="8">
        <x:v>1</x:v>
      </x:c>
      <x:c r="AT63" s="8">
        <x:v>1</x:v>
      </x:c>
      <x:c r="AU63" s="8" t="str">
        <x:v>Not applicable—source is not an NISR publication: MINALOC.</x:v>
      </x:c>
    </x:row>
    <x:row r="64" ht="26.399999618530273" hidden="1" customHeight="1">
      <x:c r="A64" s="8" t="s">
        <x:v>343</x:v>
      </x:c>
      <x:c r="B64" s="8" t="s">
        <x:v>344</x:v>
      </x:c>
      <x:c r="C64" s="8" t="s">
        <x:v>345</x:v>
      </x:c>
      <x:c r="D64" s="8" t="s">
        <x:v>25</x:v>
      </x:c>
      <x:c r="E64" s="8" t="s">
        <x:v>26</x:v>
      </x:c>
      <x:c r="F64" s="8"/>
      <x:c r="G64" s="8" t="s">
        <x:v>25</x:v>
      </x:c>
      <x:c r="H64" s="8" t="s">
        <x:v>27</x:v>
      </x:c>
      <x:c r="I64" s="8"/>
      <x:c r="J64" s="8"/>
      <x:c r="K64" s="8"/>
      <x:c r="L64" s="8" t="s">
        <x:v>25</x:v>
      </x:c>
      <x:c r="M64" s="8"/>
      <x:c r="N64" s="8" t="s">
        <x:v>25</x:v>
      </x:c>
      <x:c r="O64" s="8" t="s">
        <x:v>307</x:v>
      </x:c>
      <x:c r="P64" s="8" t="s">
        <x:v>346</x:v>
      </x:c>
      <x:c r="Q64" s="8"/>
      <x:c r="R64" s="8" t="s">
        <x:v>25</x:v>
      </x:c>
      <x:c r="S64" s="8"/>
      <x:c r="T64" s="8" t="s">
        <x:v>25</x:v>
      </x:c>
      <x:c r="U64" s="8"/>
      <x:c r="V64" s="8"/>
      <x:c r="W64" s="8"/>
      <x:c r="X64" s="8"/>
      <x:c r="Y64" s="8"/>
      <x:c r="Z64" s="8"/>
      <x:c r="AA64" s="11">
        <x:v>5</x:v>
      </x:c>
      <x:c r="AB64" s="8"/>
      <x:c r="AC64" s="8"/>
      <x:c r="AD64" s="8"/>
      <x:c r="AE64" s="8"/>
      <x:c r="AF64" s="11">
        <x:v>10</x:v>
      </x:c>
      <x:c r="AG64" s="8"/>
      <x:c r="AH64" s="8">
        <x:v>18.600000000000001</x:v>
      </x:c>
      <x:c r="AI64" s="8"/>
      <x:c r="AJ64" s="8"/>
      <x:c r="AK64" s="11">
        <x:v>23</x:v>
      </x:c>
      <x:c r="AL64" s="8"/>
      <x:c r="AM64" s="8"/>
      <x:c r="AN64" s="8"/>
      <x:c r="AO64" s="8"/>
      <x:c r="AP64" s="11">
        <x:v>46</x:v>
      </x:c>
      <x:c r="AQ64" s="8"/>
      <x:c r="AR64" s="11">
        <x:v>61</x:v>
      </x:c>
      <x:c r="AS64" s="8"/>
      <x:c r="AT64" s="8"/>
      <x:c r="AU64" s="8" t="str">
        <x:v>NISR-related source stated as “RDHC nad RPHC5/2022”; exact report/table/page not verified. Needs review—no reference has been invented.</x:v>
      </x:c>
    </x:row>
    <x:row r="65" ht="26.399999618530273" hidden="0" customHeight="1">
      <x:c r="A65" s="8" t="s">
        <x:v>347</x:v>
      </x:c>
      <x:c r="B65" s="8" t="s">
        <x:v>348</x:v>
      </x:c>
      <x:c r="C65" s="8" t="s">
        <x:v>349</x:v>
      </x:c>
      <x:c r="D65" s="8" t="s">
        <x:v>25</x:v>
      </x:c>
      <x:c r="E65" s="8" t="s">
        <x:v>26</x:v>
      </x:c>
      <x:c r="F65" s="8"/>
      <x:c r="G65" s="8" t="s">
        <x:v>25</x:v>
      </x:c>
      <x:c r="H65" s="8" t="s">
        <x:v>27</x:v>
      </x:c>
      <x:c r="I65" s="8"/>
      <x:c r="J65" s="8"/>
      <x:c r="K65" s="8"/>
      <x:c r="L65" s="8" t="s">
        <x:v>25</x:v>
      </x:c>
      <x:c r="M65" s="8"/>
      <x:c r="N65" s="8" t="s">
        <x:v>25</x:v>
      </x:c>
      <x:c r="O65" s="8" t="s">
        <x:v>33</x:v>
      </x:c>
      <x:c r="P65" s="8" t="s">
        <x:v>350</x:v>
      </x:c>
      <x:c r="Q65" s="8"/>
      <x:c r="R65" s="8" t="s">
        <x:v>25</x:v>
      </x:c>
      <x:c r="S65" s="8"/>
      <x:c r="T65" s="8" t="s">
        <x:v>25</x:v>
      </x:c>
      <x:c r="U65" s="8"/>
      <x:c r="V65" s="8"/>
      <x:c r="W65" s="8"/>
      <x:c r="X65" s="8"/>
      <x:c r="Y65" s="8"/>
      <x:c r="Z65" s="8"/>
      <x:c r="AA65" s="8"/>
      <x:c r="AB65" s="8"/>
      <x:c r="AC65" s="8"/>
      <x:c r="AD65" s="8"/>
      <x:c r="AE65" s="8"/>
      <x:c r="AF65" s="8"/>
      <x:c r="AG65" s="8"/>
      <x:c r="AH65" s="8"/>
      <x:c r="AI65" s="8"/>
      <x:c r="AJ65" s="8"/>
      <x:c r="AK65" s="8"/>
      <x:c r="AL65" s="8"/>
      <x:c r="AM65" s="8">
        <x:v>1.2</x:v>
      </x:c>
      <x:c r="AN65" s="8"/>
      <x:c r="AO65" s="8"/>
      <x:c r="AP65" s="8">
        <x:v>4.2</x:v>
      </x:c>
      <x:c r="AQ65" s="8"/>
      <x:c r="AR65" s="8"/>
      <x:c r="AS65" s="8"/>
      <x:c r="AT65" s="8">
        <x:v>5.4</x:v>
      </x:c>
      <x:c r="AU65" s="8" t="str">
        <x:v>Table 5.9, Households by main type of cooking fuel, p. 57, EICV7 Main Indicators Report 2023/24 (2025)</x:v>
      </x:c>
    </x:row>
    <x:row r="66" ht="14.399999618530273" hidden="1" customHeight="1">
      <x:c r="A66" s="8" t="s">
        <x:v>351</x:v>
      </x:c>
      <x:c r="B66" s="8" t="s">
        <x:v>352</x:v>
      </x:c>
      <x:c r="C66" s="8" t="s">
        <x:v>353</x:v>
      </x:c>
      <x:c r="D66" s="8" t="s">
        <x:v>25</x:v>
      </x:c>
      <x:c r="E66" s="8" t="s">
        <x:v>26</x:v>
      </x:c>
      <x:c r="F66" s="8"/>
      <x:c r="G66" s="8" t="s">
        <x:v>25</x:v>
      </x:c>
      <x:c r="H66" s="8" t="s">
        <x:v>27</x:v>
      </x:c>
      <x:c r="I66" s="8"/>
      <x:c r="J66" s="8"/>
      <x:c r="K66" s="8"/>
      <x:c r="L66" s="8" t="s">
        <x:v>25</x:v>
      </x:c>
      <x:c r="M66" s="8"/>
      <x:c r="N66" s="8" t="s">
        <x:v>25</x:v>
      </x:c>
      <x:c r="O66" s="8" t="s">
        <x:v>354</x:v>
      </x:c>
      <x:c r="P66" s="8" t="s">
        <x:v>355</x:v>
      </x:c>
      <x:c r="Q66" s="8"/>
      <x:c r="R66" s="8" t="s">
        <x:v>25</x:v>
      </x:c>
      <x:c r="S66" s="8"/>
      <x:c r="T66" s="8" t="s">
        <x:v>25</x:v>
      </x:c>
      <x:c r="U66" s="8"/>
      <x:c r="V66" s="8"/>
      <x:c r="W66" s="8"/>
      <x:c r="X66" s="8"/>
      <x:c r="Y66" s="8"/>
      <x:c r="Z66" s="8"/>
      <x:c r="AA66" s="8"/>
      <x:c r="AB66" s="8"/>
      <x:c r="AC66" s="8"/>
      <x:c r="AD66" s="8"/>
      <x:c r="AE66" s="8"/>
      <x:c r="AF66" s="8"/>
      <x:c r="AG66" s="8"/>
      <x:c r="AH66" s="8"/>
      <x:c r="AI66" s="8"/>
      <x:c r="AJ66" s="11">
        <x:v>53</x:v>
      </x:c>
      <x:c r="AK66" s="8"/>
      <x:c r="AL66" s="8"/>
      <x:c r="AM66" s="11">
        <x:v>61</x:v>
      </x:c>
      <x:c r="AN66" s="8"/>
      <x:c r="AO66" s="8"/>
      <x:c r="AP66" s="8">
        <x:v>62.3</x:v>
      </x:c>
      <x:c r="AQ66" s="8"/>
      <x:c r="AR66" s="8"/>
      <x:c r="AS66" s="8"/>
      <x:c r="AT66" s="8"/>
      <x:c r="AU66" s="8" t="str">
        <x:v>Not applicable—source is not an NISR publication: Ministry of Infrastructure (MININFRA).</x:v>
      </x:c>
    </x:row>
    <x:row r="67" ht="14.399999618530273" hidden="1" customHeight="1">
      <x:c r="A67" s="8" t="s">
        <x:v>356</x:v>
      </x:c>
      <x:c r="B67" s="8" t="s">
        <x:v>357</x:v>
      </x:c>
      <x:c r="C67" s="8" t="s">
        <x:v>358</x:v>
      </x:c>
      <x:c r="D67" s="8" t="s">
        <x:v>25</x:v>
      </x:c>
      <x:c r="E67" s="8" t="s">
        <x:v>359</x:v>
      </x:c>
      <x:c r="F67" s="8"/>
      <x:c r="G67" s="8" t="s">
        <x:v>25</x:v>
      </x:c>
      <x:c r="H67" s="8" t="s">
        <x:v>27</x:v>
      </x:c>
      <x:c r="I67" s="8"/>
      <x:c r="J67" s="8"/>
      <x:c r="K67" s="8"/>
      <x:c r="L67" s="8" t="s">
        <x:v>25</x:v>
      </x:c>
      <x:c r="M67" s="8"/>
      <x:c r="N67" s="8" t="s">
        <x:v>25</x:v>
      </x:c>
      <x:c r="O67" s="8" t="s">
        <x:v>354</x:v>
      </x:c>
      <x:c r="P67" s="8" t="s">
        <x:v>357</x:v>
      </x:c>
      <x:c r="Q67" s="8"/>
      <x:c r="R67" s="8" t="s">
        <x:v>25</x:v>
      </x:c>
      <x:c r="S67" s="8"/>
      <x:c r="T67" s="8" t="s">
        <x:v>25</x:v>
      </x:c>
      <x:c r="U67" s="8"/>
      <x:c r="V67" s="8"/>
      <x:c r="W67" s="8"/>
      <x:c r="X67" s="8"/>
      <x:c r="Y67" s="8"/>
      <x:c r="Z67" s="8"/>
      <x:c r="AA67" s="8"/>
      <x:c r="AB67" s="8"/>
      <x:c r="AC67" s="8"/>
      <x:c r="AD67" s="8"/>
      <x:c r="AE67" s="8"/>
      <x:c r="AF67" s="8"/>
      <x:c r="AG67" s="8"/>
      <x:c r="AH67" s="8"/>
      <x:c r="AI67" s="8"/>
      <x:c r="AJ67" s="8"/>
      <x:c r="AK67" s="8"/>
      <x:c r="AL67" s="8"/>
      <x:c r="AM67" s="8"/>
      <x:c r="AN67" s="8"/>
      <x:c r="AO67" s="8">
        <x:v>3.2</x:v>
      </x:c>
      <x:c r="AP67" s="11">
        <x:v>3.22</x:v>
      </x:c>
      <x:c r="AQ67" s="8"/>
      <x:c r="AR67" s="8"/>
      <x:c r="AS67" s="8"/>
      <x:c r="AT67" s="8"/>
      <x:c r="AU67" s="8" t="str">
        <x:v>Not applicable—source is not an NISR publication: Ministry of Infrastructure (MININFRA).</x:v>
      </x:c>
    </x:row>
    <x:row r="68" ht="52.79999923706055" hidden="0" customHeight="1">
      <x:c r="A68" s="8" t="s">
        <x:v>360</x:v>
      </x:c>
      <x:c r="B68" s="13" t="s">
        <x:v>361</x:v>
      </x:c>
      <x:c r="C68" s="8" t="s">
        <x:v>362</x:v>
      </x:c>
      <x:c r="D68" s="8" t="s">
        <x:v>25</x:v>
      </x:c>
      <x:c r="E68" s="8" t="s">
        <x:v>26</x:v>
      </x:c>
      <x:c r="F68" s="8"/>
      <x:c r="G68" s="8" t="s">
        <x:v>25</x:v>
      </x:c>
      <x:c r="H68" s="8" t="s">
        <x:v>27</x:v>
      </x:c>
      <x:c r="I68" s="8"/>
      <x:c r="J68" s="8"/>
      <x:c r="K68" s="8"/>
      <x:c r="L68" s="8" t="s">
        <x:v>25</x:v>
      </x:c>
      <x:c r="M68" s="8"/>
      <x:c r="N68" s="8" t="s">
        <x:v>25</x:v>
      </x:c>
      <x:c r="O68" s="8" t="s">
        <x:v>363</x:v>
      </x:c>
      <x:c r="P68" s="8" t="s">
        <x:v>361</x:v>
      </x:c>
      <x:c r="Q68" s="8"/>
      <x:c r="R68" s="8" t="s">
        <x:v>25</x:v>
      </x:c>
      <x:c r="S68" s="8"/>
      <x:c r="T68" s="8" t="s">
        <x:v>25</x:v>
      </x:c>
      <x:c r="U68" s="8"/>
      <x:c r="V68" s="8"/>
      <x:c r="W68" s="8">
        <x:v>5.7</x:v>
      </x:c>
      <x:c r="X68" s="8">
        <x:v>10.4</x:v>
      </x:c>
      <x:c r="Y68" s="8">
        <x:v>-0.3</x:v>
      </x:c>
      <x:c r="Z68" s="8">
        <x:v>3.7</x:v>
      </x:c>
      <x:c r="AA68" s="8">
        <x:v>6.9</x:v>
      </x:c>
      <x:c r="AB68" s="8">
        <x:v>6.8</x:v>
      </x:c>
      <x:c r="AC68" s="8">
        <x:v>5.3</x:v>
      </x:c>
      <x:c r="AD68" s="8">
        <x:v>7.6</x:v>
      </x:c>
      <x:c r="AE68" s="8">
        <x:v>4.0999999999999996</x:v>
      </x:c>
      <x:c r="AF68" s="8">
        <x:v>4.0999999999999996</x:v>
      </x:c>
      <x:c r="AG68" s="8">
        <x:v>5.8</x:v>
      </x:c>
      <x:c r="AH68" s="8">
        <x:v>5.5</x:v>
      </x:c>
      <x:c r="AI68" s="8">
        <x:v>2.8</x:v>
      </x:c>
      <x:c r="AJ68" s="8">
        <x:v>3.3</x:v>
      </x:c>
      <x:c r="AK68" s="11">
        <x:v>6</x:v>
      </x:c>
      <x:c r="AL68" s="8">
        <x:v>4.0999999999999996</x:v>
      </x:c>
      <x:c r="AM68" s="8">
        <x:v>1.3</x:v>
      </x:c>
      <x:c r="AN68" s="8">
        <x:v>5.8</x:v>
      </x:c>
      <x:c r="AO68" s="8">
        <x:v>6.8</x:v>
      </x:c>
      <x:c r="AP68" s="8">
        <x:v>-5.7</x:v>
      </x:c>
      <x:c r="AQ68" s="8">
        <x:v>8.3000000000000007</x:v>
      </x:c>
      <x:c r="AR68" s="8">
        <x:v>5.7</x:v>
      </x:c>
      <x:c r="AS68" s="8">
        <x:v>5.9</x:v>
      </x:c>
      <x:c r="AT68" s="8">
        <x:v>6.5</x:v>
      </x:c>
      <x:c r="AU68" s="8" t="str">
        <x:v>Unnumbered/derived, Annual growth rate of real GDP per capita, National accounts time series, GDP National Accounts 2024—Annual Report (2025). Needs review: Value is derived from GDP and population series; identify the official National Accounts Excel cell for repeatable extraction.</x:v>
      </x:c>
    </x:row>
    <x:row r="69" ht="14.399999618530273" hidden="1" customHeight="1">
      <x:c r="A69" s="8" t="s">
        <x:v>364</x:v>
      </x:c>
      <x:c r="B69" s="8" t="s">
        <x:v>365</x:v>
      </x:c>
      <x:c r="C69" s="8" t="s">
        <x:v>366</x:v>
      </x:c>
      <x:c r="D69" s="8" t="s">
        <x:v>25</x:v>
      </x:c>
      <x:c r="E69" s="8" t="s">
        <x:v>26</x:v>
      </x:c>
      <x:c r="F69" s="8"/>
      <x:c r="G69" s="8" t="s">
        <x:v>25</x:v>
      </x:c>
      <x:c r="H69" s="8" t="s">
        <x:v>27</x:v>
      </x:c>
      <x:c r="I69" s="8"/>
      <x:c r="J69" s="8"/>
      <x:c r="K69" s="8"/>
      <x:c r="L69" s="8" t="s">
        <x:v>25</x:v>
      </x:c>
      <x:c r="M69" s="8"/>
      <x:c r="N69" s="8" t="s">
        <x:v>25</x:v>
      </x:c>
      <x:c r="O69" s="8" t="s">
        <x:v>367</x:v>
      </x:c>
      <x:c r="P69" s="8" t="s">
        <x:v>365</x:v>
      </x:c>
      <x:c r="Q69" s="8"/>
      <x:c r="R69" s="8" t="s">
        <x:v>25</x:v>
      </x:c>
      <x:c r="S69" s="8"/>
      <x:c r="T69" s="8" t="s">
        <x:v>25</x:v>
      </x:c>
      <x:c r="U69" s="8"/>
      <x:c r="V69" s="8"/>
      <x:c r="W69" s="8"/>
      <x:c r="X69" s="8"/>
      <x:c r="Y69" s="8"/>
      <x:c r="Z69" s="8"/>
      <x:c r="AA69" s="8"/>
      <x:c r="AB69" s="8"/>
      <x:c r="AC69" s="8"/>
      <x:c r="AD69" s="8"/>
      <x:c r="AE69" s="8"/>
      <x:c r="AF69" s="8"/>
      <x:c r="AG69" s="8"/>
      <x:c r="AH69" s="8"/>
      <x:c r="AI69" s="8"/>
      <x:c r="AJ69" s="8"/>
      <x:c r="AK69" s="8"/>
      <x:c r="AL69" s="8">
        <x:v>2.2999999999999998</x:v>
      </x:c>
      <x:c r="AM69" s="8">
        <x:v>0.6</x:v>
      </x:c>
      <x:c r="AN69" s="8">
        <x:v>21.3</x:v>
      </x:c>
      <x:c r="AO69" s="11">
        <x:v>-12</x:v>
      </x:c>
      <x:c r="AP69" s="8">
        <x:v>10.3</x:v>
      </x:c>
      <x:c r="AQ69" s="8">
        <x:v>4.0999999999999996</x:v>
      </x:c>
      <x:c r="AR69" s="8"/>
      <x:c r="AS69" s="8"/>
      <x:c r="AT69" s="8"/>
      <x:c r="AU69" s="8" t="str">
        <x:v>Not applicable—source is not an NISR publication: ILO - Modelled Estimates.</x:v>
      </x:c>
    </x:row>
    <x:row r="70" ht="26.399999618530273" hidden="0" customHeight="1">
      <x:c r="A70" s="8" t="s">
        <x:v>368</x:v>
      </x:c>
      <x:c r="B70" s="8" t="s">
        <x:v>369</x:v>
      </x:c>
      <x:c r="C70" s="8" t="s">
        <x:v>370</x:v>
      </x:c>
      <x:c r="D70" s="8" t="s">
        <x:v>25</x:v>
      </x:c>
      <x:c r="E70" s="8" t="s">
        <x:v>26</x:v>
      </x:c>
      <x:c r="F70" s="8"/>
      <x:c r="G70" s="8" t="s">
        <x:v>25</x:v>
      </x:c>
      <x:c r="H70" s="8" t="s">
        <x:v>27</x:v>
      </x:c>
      <x:c r="I70" s="8"/>
      <x:c r="J70" s="8"/>
      <x:c r="K70" s="8"/>
      <x:c r="L70" s="8" t="s">
        <x:v>25</x:v>
      </x:c>
      <x:c r="M70" s="8"/>
      <x:c r="N70" s="8" t="s">
        <x:v>25</x:v>
      </x:c>
      <x:c r="O70" s="8" t="s">
        <x:v>278</x:v>
      </x:c>
      <x:c r="P70" s="8" t="s">
        <x:v>371</x:v>
      </x:c>
      <x:c r="Q70" s="8"/>
      <x:c r="R70" s="8" t="s">
        <x:v>25</x:v>
      </x:c>
      <x:c r="S70" s="8"/>
      <x:c r="T70" s="8" t="s">
        <x:v>25</x:v>
      </x:c>
      <x:c r="U70" s="8"/>
      <x:c r="V70" s="8"/>
      <x:c r="W70" s="8"/>
      <x:c r="X70" s="8"/>
      <x:c r="Y70" s="8"/>
      <x:c r="Z70" s="8"/>
      <x:c r="AA70" s="8"/>
      <x:c r="AB70" s="8"/>
      <x:c r="AC70" s="8"/>
      <x:c r="AD70" s="8"/>
      <x:c r="AE70" s="8"/>
      <x:c r="AF70" s="8"/>
      <x:c r="AG70" s="8"/>
      <x:c r="AH70" s="8"/>
      <x:c r="AI70" s="8"/>
      <x:c r="AJ70" s="8"/>
      <x:c r="AK70" s="8"/>
      <x:c r="AL70" s="8">
        <x:v>86.2</x:v>
      </x:c>
      <x:c r="AM70" s="8">
        <x:v>84.6</x:v>
      </x:c>
      <x:c r="AN70" s="8">
        <x:v>83.5</x:v>
      </x:c>
      <x:c r="AO70" s="8">
        <x:v>83.5</x:v>
      </x:c>
      <x:c r="AP70" s="8"/>
      <x:c r="AQ70" s="11">
        <x:v>82</x:v>
      </x:c>
      <x:c r="AR70" s="8">
        <x:v>84.1</x:v>
      </x:c>
      <x:c r="AS70" s="8">
        <x:v>83.3</x:v>
      </x:c>
      <x:c r="AT70" s="8">
        <x:v>85.5</x:v>
      </x:c>
      <x:c r="AU70" s="8" t="str">
        <x:v>Unnumbered summary table, Trend of Labour Force Survey main indicators, p. 14, Labour Force Survey Annual Report 2024 (2025)</x:v>
      </x:c>
    </x:row>
    <x:row r="71" ht="52.79999923706055" hidden="0" customHeight="1">
      <x:c r="A71" s="8" t="s">
        <x:v>372</x:v>
      </x:c>
      <x:c r="B71" s="8" t="s">
        <x:v>373</x:v>
      </x:c>
      <x:c r="C71" s="8" t="s">
        <x:v>374</x:v>
      </x:c>
      <x:c r="D71" s="8" t="s">
        <x:v>25</x:v>
      </x:c>
      <x:c r="E71" s="8" t="s">
        <x:v>53</x:v>
      </x:c>
      <x:c r="F71" s="8" t="s">
        <x:v>375</x:v>
      </x:c>
      <x:c r="G71" s="8" t="s">
        <x:v>376</x:v>
      </x:c>
      <x:c r="H71" s="8" t="s">
        <x:v>27</x:v>
      </x:c>
      <x:c r="I71" s="8"/>
      <x:c r="J71" s="8"/>
      <x:c r="K71" s="8"/>
      <x:c r="L71" s="8" t="s">
        <x:v>25</x:v>
      </x:c>
      <x:c r="M71" s="8"/>
      <x:c r="N71" s="8" t="s">
        <x:v>25</x:v>
      </x:c>
      <x:c r="O71" s="8" t="s">
        <x:v>278</x:v>
      </x:c>
      <x:c r="P71" s="8" t="s">
        <x:v>377</x:v>
      </x:c>
      <x:c r="Q71" s="8"/>
      <x:c r="R71" s="8" t="s">
        <x:v>25</x:v>
      </x:c>
      <x:c r="S71" s="8"/>
      <x:c r="T71" s="8" t="s">
        <x:v>25</x:v>
      </x:c>
      <x:c r="U71" s="8"/>
      <x:c r="V71" s="8"/>
      <x:c r="W71" s="8"/>
      <x:c r="X71" s="8"/>
      <x:c r="Y71" s="8"/>
      <x:c r="Z71" s="8"/>
      <x:c r="AA71" s="8"/>
      <x:c r="AB71" s="8"/>
      <x:c r="AC71" s="8"/>
      <x:c r="AD71" s="8"/>
      <x:c r="AE71" s="8"/>
      <x:c r="AF71" s="8"/>
      <x:c r="AG71" s="8"/>
      <x:c r="AH71" s="8"/>
      <x:c r="AI71" s="8"/>
      <x:c r="AJ71" s="8"/>
      <x:c r="AK71" s="8"/>
      <x:c r="AL71" s="8"/>
      <x:c r="AM71" s="11">
        <x:v>2365.1603505995499</x:v>
      </x:c>
      <x:c r="AN71" s="11">
        <x:v>2531.0859379080098</x:v>
      </x:c>
      <x:c r="AO71" s="11">
        <x:v>2285.5298508877399</x:v>
      </x:c>
      <x:c r="AP71" s="11">
        <x:v>2518.9777858995299</x:v>
      </x:c>
      <x:c r="AQ71" s="11">
        <x:v>2346.0227326232898</x:v>
      </x:c>
      <x:c r="AR71" s="11">
        <x:v>2337.4808972702699</x:v>
      </x:c>
      <x:c r="AS71" s="11">
        <x:v>3496.2608515765401</x:v>
      </x:c>
      <x:c r="AT71" s="8"/>
      <x:c r="AU71" s="8" t="str">
        <x:v>Not in verified report table, Average hourly earnings, Direct output required, Labour Force Survey microdata/indicator output (2024). Needs review: Dashboard value 3,496.26 does not match Figure 4.15 average hourly cash income; confirm variable, denominator and source output.</x:v>
      </x:c>
    </x:row>
    <x:row r="72" ht="26.399999618530273" hidden="0" customHeight="1">
      <x:c r="A72" s="8" t="s">
        <x:v>378</x:v>
      </x:c>
      <x:c r="B72" s="8" t="s">
        <x:v>379</x:v>
      </x:c>
      <x:c r="C72" s="8" t="s">
        <x:v>380</x:v>
      </x:c>
      <x:c r="D72" s="8" t="s">
        <x:v>25</x:v>
      </x:c>
      <x:c r="E72" s="8" t="s">
        <x:v>26</x:v>
      </x:c>
      <x:c r="F72" s="8"/>
      <x:c r="G72" s="8" t="s">
        <x:v>25</x:v>
      </x:c>
      <x:c r="H72" s="8" t="s">
        <x:v>27</x:v>
      </x:c>
      <x:c r="I72" s="8"/>
      <x:c r="J72" s="8"/>
      <x:c r="K72" s="8"/>
      <x:c r="L72" s="8" t="s">
        <x:v>25</x:v>
      </x:c>
      <x:c r="M72" s="8"/>
      <x:c r="N72" s="8" t="s">
        <x:v>25</x:v>
      </x:c>
      <x:c r="O72" s="8" t="s">
        <x:v>278</x:v>
      </x:c>
      <x:c r="P72" s="8" t="s">
        <x:v>381</x:v>
      </x:c>
      <x:c r="Q72" s="8"/>
      <x:c r="R72" s="8" t="s">
        <x:v>25</x:v>
      </x:c>
      <x:c r="S72" s="8"/>
      <x:c r="T72" s="8" t="s">
        <x:v>25</x:v>
      </x:c>
      <x:c r="U72" s="8"/>
      <x:c r="V72" s="8"/>
      <x:c r="W72" s="8"/>
      <x:c r="X72" s="8"/>
      <x:c r="Y72" s="8"/>
      <x:c r="Z72" s="8"/>
      <x:c r="AA72" s="8"/>
      <x:c r="AB72" s="8"/>
      <x:c r="AC72" s="8"/>
      <x:c r="AD72" s="8"/>
      <x:c r="AE72" s="8"/>
      <x:c r="AF72" s="8"/>
      <x:c r="AG72" s="8"/>
      <x:c r="AH72" s="8"/>
      <x:c r="AI72" s="8"/>
      <x:c r="AJ72" s="8"/>
      <x:c r="AK72" s="8"/>
      <x:c r="AL72" s="8">
        <x:v>18.8</x:v>
      </x:c>
      <x:c r="AM72" s="8">
        <x:v>17.3</x:v>
      </x:c>
      <x:c r="AN72" s="8">
        <x:v>15.1</x:v>
      </x:c>
      <x:c r="AO72" s="8">
        <x:v>15.2</x:v>
      </x:c>
      <x:c r="AP72" s="8">
        <x:v>17.899999999999999</x:v>
      </x:c>
      <x:c r="AQ72" s="8">
        <x:v>20.9</x:v>
      </x:c>
      <x:c r="AR72" s="8">
        <x:v>20.5</x:v>
      </x:c>
      <x:c r="AS72" s="11">
        <x:v>17.238670957604757</x:v>
      </x:c>
      <x:c r="AT72" s="11">
        <x:v>14.93</x:v>
      </x:c>
      <x:c r="AU72" s="8" t="str">
        <x:v>Figure 5.1, Unemployment rate by sex, p. 40, Labour Force Survey Annual Report 2024 (2025)</x:v>
      </x:c>
    </x:row>
    <x:row r="73" ht="26.399999618530273" hidden="0" customHeight="1">
      <x:c r="A73" s="8" t="s">
        <x:v>382</x:v>
      </x:c>
      <x:c r="B73" s="8" t="s">
        <x:v>383</x:v>
      </x:c>
      <x:c r="C73" s="8" t="s">
        <x:v>384</x:v>
      </x:c>
      <x:c r="D73" s="8" t="s">
        <x:v>25</x:v>
      </x:c>
      <x:c r="E73" s="8" t="s">
        <x:v>26</x:v>
      </x:c>
      <x:c r="F73" s="8"/>
      <x:c r="G73" s="8" t="s">
        <x:v>25</x:v>
      </x:c>
      <x:c r="H73" s="8" t="s">
        <x:v>27</x:v>
      </x:c>
      <x:c r="I73" s="8"/>
      <x:c r="J73" s="8"/>
      <x:c r="K73" s="8"/>
      <x:c r="L73" s="8" t="s">
        <x:v>25</x:v>
      </x:c>
      <x:c r="M73" s="8"/>
      <x:c r="N73" s="8" t="s">
        <x:v>25</x:v>
      </x:c>
      <x:c r="O73" s="8" t="s">
        <x:v>278</x:v>
      </x:c>
      <x:c r="P73" s="8" t="s">
        <x:v>385</x:v>
      </x:c>
      <x:c r="Q73" s="8"/>
      <x:c r="R73" s="8" t="s">
        <x:v>386</x:v>
      </x:c>
      <x:c r="S73" s="8" t="s">
        <x:v>387</x:v>
      </x:c>
      <x:c r="T73" s="8" t="s">
        <x:v>25</x:v>
      </x:c>
      <x:c r="U73" s="8"/>
      <x:c r="V73" s="8"/>
      <x:c r="W73" s="8"/>
      <x:c r="X73" s="8"/>
      <x:c r="Y73" s="8"/>
      <x:c r="Z73" s="8"/>
      <x:c r="AA73" s="8"/>
      <x:c r="AB73" s="8"/>
      <x:c r="AC73" s="8"/>
      <x:c r="AD73" s="8"/>
      <x:c r="AE73" s="8"/>
      <x:c r="AF73" s="8"/>
      <x:c r="AG73" s="8"/>
      <x:c r="AH73" s="8"/>
      <x:c r="AI73" s="8"/>
      <x:c r="AJ73" s="8"/>
      <x:c r="AK73" s="8"/>
      <x:c r="AL73" s="8"/>
      <x:c r="AM73" s="8">
        <x:v>31.8</x:v>
      </x:c>
      <x:c r="AN73" s="8">
        <x:v>30.7</x:v>
      </x:c>
      <x:c r="AO73" s="8">
        <x:v>32.5</x:v>
      </x:c>
      <x:c r="AP73" s="8"/>
      <x:c r="AQ73" s="8">
        <x:v>32.799999999999997</x:v>
      </x:c>
      <x:c r="AR73" s="8">
        <x:v>32.1</x:v>
      </x:c>
      <x:c r="AS73" s="8">
        <x:v>31.9</x:v>
      </x:c>
      <x:c r="AT73" s="8">
        <x:v>26.8</x:v>
      </x:c>
      <x:c r="AU73" s="8" t="str">
        <x:v>Figure 7.5, Youth not in employment and not in education or training, p. 50, Labour Force Survey Annual Report 2024 (2025)</x:v>
      </x:c>
    </x:row>
    <x:row r="74" ht="39.599998474121094" hidden="0" customHeight="1">
      <x:c r="A74" s="8" t="s">
        <x:v>388</x:v>
      </x:c>
      <x:c r="B74" s="13" t="s">
        <x:v>389</x:v>
      </x:c>
      <x:c r="C74" s="8" t="s">
        <x:v>390</x:v>
      </x:c>
      <x:c r="D74" s="8" t="s">
        <x:v>25</x:v>
      </x:c>
      <x:c r="E74" s="8" t="s">
        <x:v>26</x:v>
      </x:c>
      <x:c r="F74" s="8"/>
      <x:c r="G74" s="8" t="s">
        <x:v>25</x:v>
      </x:c>
      <x:c r="H74" s="8" t="s">
        <x:v>27</x:v>
      </x:c>
      <x:c r="I74" s="8"/>
      <x:c r="J74" s="8"/>
      <x:c r="K74" s="8"/>
      <x:c r="L74" s="8" t="s">
        <x:v>25</x:v>
      </x:c>
      <x:c r="M74" s="8"/>
      <x:c r="N74" s="8" t="s">
        <x:v>25</x:v>
      </x:c>
      <x:c r="O74" s="8" t="s">
        <x:v>33</x:v>
      </x:c>
      <x:c r="P74" s="8" t="s">
        <x:v>391</x:v>
      </x:c>
      <x:c r="Q74" s="8"/>
      <x:c r="R74" s="8" t="s">
        <x:v>392</x:v>
      </x:c>
      <x:c r="S74" s="8" t="s">
        <x:v>393</x:v>
      </x:c>
      <x:c r="T74" s="8" t="s">
        <x:v>25</x:v>
      </x:c>
      <x:c r="U74" s="8"/>
      <x:c r="V74" s="8"/>
      <x:c r="W74" s="8"/>
      <x:c r="X74" s="8"/>
      <x:c r="Y74" s="8"/>
      <x:c r="Z74" s="8"/>
      <x:c r="AA74" s="8"/>
      <x:c r="AB74" s="8"/>
      <x:c r="AC74" s="8"/>
      <x:c r="AD74" s="8"/>
      <x:c r="AE74" s="8"/>
      <x:c r="AF74" s="8"/>
      <x:c r="AG74" s="8"/>
      <x:c r="AH74" s="8"/>
      <x:c r="AI74" s="8"/>
      <x:c r="AJ74" s="8">
        <x:v>5.5</x:v>
      </x:c>
      <x:c r="AK74" s="8"/>
      <x:c r="AL74" s="8"/>
      <x:c r="AM74" s="8">
        <x:v>3.6</x:v>
      </x:c>
      <x:c r="AN74" s="8"/>
      <x:c r="AO74" s="8"/>
      <x:c r="AP74" s="8"/>
      <x:c r="AQ74" s="8"/>
      <x:c r="AR74" s="8"/>
      <x:c r="AS74" s="8"/>
      <x:c r="AT74" s="8">
        <x:v>3.3</x:v>
      </x:c>
      <x:c r="AU74" s="8" t="str">
        <x:v>Children engaged in economic activity, Economic activity/child work output, EICV7 Main Indicators Report 2023/24 (2025). Needs review: No matching numbered national table was verified in the EICV7 main report; likely requires EICV analytical output.</x:v>
      </x:c>
    </x:row>
    <x:row r="75" ht="14.399999618530273" hidden="1" customHeight="1">
      <x:c r="A75" s="8" t="s">
        <x:v>394</x:v>
      </x:c>
      <x:c r="B75" s="8" t="s">
        <x:v>395</x:v>
      </x:c>
      <x:c r="C75" s="8" t="s">
        <x:v>396</x:v>
      </x:c>
      <x:c r="D75" s="8" t="s">
        <x:v>25</x:v>
      </x:c>
      <x:c r="E75" s="8" t="s">
        <x:v>26</x:v>
      </x:c>
      <x:c r="F75" s="8"/>
      <x:c r="G75" s="8" t="s">
        <x:v>25</x:v>
      </x:c>
      <x:c r="H75" s="8" t="s">
        <x:v>27</x:v>
      </x:c>
      <x:c r="I75" s="8"/>
      <x:c r="J75" s="8"/>
      <x:c r="K75" s="8"/>
      <x:c r="L75" s="8" t="s">
        <x:v>25</x:v>
      </x:c>
      <x:c r="M75" s="8"/>
      <x:c r="N75" s="8" t="s">
        <x:v>25</x:v>
      </x:c>
      <x:c r="O75" s="8" t="s">
        <x:v>397</x:v>
      </x:c>
      <x:c r="P75" s="8" t="s">
        <x:v>398</x:v>
      </x:c>
      <x:c r="Q75" s="8"/>
      <x:c r="R75" s="8" t="s">
        <x:v>25</x:v>
      </x:c>
      <x:c r="S75" s="8"/>
      <x:c r="T75" s="8" t="s">
        <x:v>25</x:v>
      </x:c>
      <x:c r="U75" s="8"/>
      <x:c r="V75" s="8"/>
      <x:c r="W75" s="8"/>
      <x:c r="X75" s="8"/>
      <x:c r="Y75" s="8"/>
      <x:c r="Z75" s="8"/>
      <x:c r="AA75" s="8"/>
      <x:c r="AB75" s="8"/>
      <x:c r="AC75" s="8"/>
      <x:c r="AD75" s="8"/>
      <x:c r="AE75" s="8"/>
      <x:c r="AF75" s="8"/>
      <x:c r="AG75" s="8"/>
      <x:c r="AH75" s="8"/>
      <x:c r="AI75" s="8"/>
      <x:c r="AJ75" s="8"/>
      <x:c r="AK75" s="8"/>
      <x:c r="AL75" s="8"/>
      <x:c r="AM75" s="8"/>
      <x:c r="AN75" s="8">
        <x:v>6</x:v>
      </x:c>
      <x:c r="AO75" s="8">
        <x:v>5</x:v>
      </x:c>
      <x:c r="AP75" s="8"/>
      <x:c r="AQ75" s="8"/>
      <x:c r="AR75" s="8"/>
      <x:c r="AS75" s="8"/>
      <x:c r="AT75" s="8"/>
      <x:c r="AU75" s="8" t="str">
        <x:v>Not applicable—source is not an NISR publication: RSSB.</x:v>
      </x:c>
    </x:row>
    <x:row r="76" ht="26.399999618530273" hidden="1" customHeight="1">
      <x:c r="A76" s="8" t="s">
        <x:v>399</x:v>
      </x:c>
      <x:c r="B76" s="8" t="s">
        <x:v>400</x:v>
      </x:c>
      <x:c r="C76" s="8" t="s">
        <x:v>401</x:v>
      </x:c>
      <x:c r="D76" s="8" t="s">
        <x:v>25</x:v>
      </x:c>
      <x:c r="E76" s="8" t="s">
        <x:v>402</x:v>
      </x:c>
      <x:c r="F76" s="8"/>
      <x:c r="G76" s="8" t="s">
        <x:v>25</x:v>
      </x:c>
      <x:c r="H76" s="8" t="s">
        <x:v>27</x:v>
      </x:c>
      <x:c r="I76" s="8"/>
      <x:c r="J76" s="8"/>
      <x:c r="K76" s="8"/>
      <x:c r="L76" s="8" t="s">
        <x:v>25</x:v>
      </x:c>
      <x:c r="M76" s="8"/>
      <x:c r="N76" s="8" t="s">
        <x:v>25</x:v>
      </x:c>
      <x:c r="O76" s="8" t="s">
        <x:v>403</x:v>
      </x:c>
      <x:c r="P76" s="8" t="s">
        <x:v>404</x:v>
      </x:c>
      <x:c r="Q76" s="8"/>
      <x:c r="R76" s="8" t="s">
        <x:v>25</x:v>
      </x:c>
      <x:c r="S76" s="8"/>
      <x:c r="T76" s="8" t="s">
        <x:v>25</x:v>
      </x:c>
      <x:c r="U76" s="8"/>
      <x:c r="V76" s="8"/>
      <x:c r="W76" s="8"/>
      <x:c r="X76" s="8"/>
      <x:c r="Y76" s="8"/>
      <x:c r="Z76" s="8"/>
      <x:c r="AA76" s="8"/>
      <x:c r="AB76" s="8"/>
      <x:c r="AC76" s="8"/>
      <x:c r="AD76" s="8"/>
      <x:c r="AE76" s="8"/>
      <x:c r="AF76" s="8"/>
      <x:c r="AG76" s="8"/>
      <x:c r="AH76" s="8"/>
      <x:c r="AI76" s="8"/>
      <x:c r="AJ76" s="8"/>
      <x:c r="AK76" s="8">
        <x:v>1.8</x:v>
      </x:c>
      <x:c r="AL76" s="8">
        <x:v>2.1</x:v>
      </x:c>
      <x:c r="AM76" s="8">
        <x:v>2.2999999999999998</x:v>
      </x:c>
      <x:c r="AN76" s="8">
        <x:v>2.2999999999999998</x:v>
      </x:c>
      <x:c r="AO76" s="8">
        <x:v>1.3</x:v>
      </x:c>
      <x:c r="AP76" s="8">
        <x:v>1.3</x:v>
      </x:c>
      <x:c r="AQ76" s="8">
        <x:v>1.3</x:v>
      </x:c>
      <x:c r="AR76" s="8"/>
      <x:c r="AS76" s="8"/>
      <x:c r="AT76" s="8"/>
      <x:c r="AU76" s="8" t="str">
        <x:v>Not applicable—source is not an NISR publication: ILO - Calculations based on information from ILO textual sources.</x:v>
      </x:c>
    </x:row>
    <x:row r="77" ht="14.399999618530273" hidden="1" customHeight="1">
      <x:c r="A77" s="8" t="s">
        <x:v>405</x:v>
      </x:c>
      <x:c r="B77" s="8" t="s">
        <x:v>406</x:v>
      </x:c>
      <x:c r="C77" s="8" t="s">
        <x:v>407</x:v>
      </x:c>
      <x:c r="D77" s="8" t="s">
        <x:v>25</x:v>
      </x:c>
      <x:c r="E77" s="8" t="s">
        <x:v>26</x:v>
      </x:c>
      <x:c r="F77" s="8"/>
      <x:c r="G77" s="8" t="s">
        <x:v>25</x:v>
      </x:c>
      <x:c r="H77" s="8" t="s">
        <x:v>27</x:v>
      </x:c>
      <x:c r="I77" s="8"/>
      <x:c r="J77" s="8"/>
      <x:c r="K77" s="8"/>
      <x:c r="L77" s="8" t="s">
        <x:v>25</x:v>
      </x:c>
      <x:c r="M77" s="8"/>
      <x:c r="N77" s="8" t="s">
        <x:v>25</x:v>
      </x:c>
      <x:c r="O77" s="8" t="s">
        <x:v>408</x:v>
      </x:c>
      <x:c r="P77" s="8" t="s">
        <x:v>409</x:v>
      </x:c>
      <x:c r="Q77" s="8"/>
      <x:c r="R77" s="8" t="s">
        <x:v>25</x:v>
      </x:c>
      <x:c r="S77" s="8"/>
      <x:c r="T77" s="8" t="s">
        <x:v>25</x:v>
      </x:c>
      <x:c r="U77" s="8"/>
      <x:c r="V77" s="8"/>
      <x:c r="W77" s="8"/>
      <x:c r="X77" s="8"/>
      <x:c r="Y77" s="8"/>
      <x:c r="Z77" s="8"/>
      <x:c r="AA77" s="8"/>
      <x:c r="AB77" s="8"/>
      <x:c r="AC77" s="8"/>
      <x:c r="AD77" s="8"/>
      <x:c r="AE77" s="8"/>
      <x:c r="AF77" s="8"/>
      <x:c r="AG77" s="8"/>
      <x:c r="AH77" s="8"/>
      <x:c r="AI77" s="8"/>
      <x:c r="AJ77" s="8"/>
      <x:c r="AK77" s="8"/>
      <x:c r="AL77" s="8"/>
      <x:c r="AM77" s="8"/>
      <x:c r="AN77" s="11">
        <x:v>3.43</x:v>
      </x:c>
      <x:c r="AO77" s="8">
        <x:v>4.9000000000000004</x:v>
      </x:c>
      <x:c r="AP77" s="8">
        <x:v>1.3</x:v>
      </x:c>
      <x:c r="AQ77" s="8"/>
      <x:c r="AR77" s="8"/>
      <x:c r="AS77" s="8"/>
      <x:c r="AT77" s="8">
        <x:v>4.3</x:v>
      </x:c>
      <x:c r="AU77" s="8" t="str">
        <x:v>Not applicable—source is not an NISR publication: RDB.</x:v>
      </x:c>
    </x:row>
    <x:row r="78" ht="14.399999618530273" hidden="1" customHeight="1">
      <x:c r="A78" s="8" t="s">
        <x:v>410</x:v>
      </x:c>
      <x:c r="B78" s="8" t="s">
        <x:v>411</x:v>
      </x:c>
      <x:c r="C78" s="8" t="s">
        <x:v>412</x:v>
      </x:c>
      <x:c r="D78" s="8" t="s">
        <x:v>25</x:v>
      </x:c>
      <x:c r="E78" s="8" t="s">
        <x:v>59</x:v>
      </x:c>
      <x:c r="F78" s="8"/>
      <x:c r="G78" s="8" t="s">
        <x:v>25</x:v>
      </x:c>
      <x:c r="H78" s="8" t="s">
        <x:v>27</x:v>
      </x:c>
      <x:c r="I78" s="8"/>
      <x:c r="J78" s="8"/>
      <x:c r="K78" s="8"/>
      <x:c r="L78" s="8" t="s">
        <x:v>25</x:v>
      </x:c>
      <x:c r="M78" s="8"/>
      <x:c r="N78" s="8" t="s">
        <x:v>25</x:v>
      </x:c>
      <x:c r="O78" s="8" t="s">
        <x:v>413</x:v>
      </x:c>
      <x:c r="P78" s="8" t="s">
        <x:v>414</x:v>
      </x:c>
      <x:c r="Q78" s="8"/>
      <x:c r="R78" s="8" t="s">
        <x:v>25</x:v>
      </x:c>
      <x:c r="S78" s="8"/>
      <x:c r="T78" s="8" t="s">
        <x:v>25</x:v>
      </x:c>
      <x:c r="U78" s="8"/>
      <x:c r="V78" s="8"/>
      <x:c r="W78" s="8"/>
      <x:c r="X78" s="8"/>
      <x:c r="Y78" s="8"/>
      <x:c r="Z78" s="8"/>
      <x:c r="AA78" s="8"/>
      <x:c r="AB78" s="8"/>
      <x:c r="AC78" s="8"/>
      <x:c r="AD78" s="8"/>
      <x:c r="AE78" s="8"/>
      <x:c r="AF78" s="8"/>
      <x:c r="AG78" s="8"/>
      <x:c r="AH78" s="8"/>
      <x:c r="AI78" s="8"/>
      <x:c r="AJ78" s="8"/>
      <x:c r="AK78" s="8">
        <x:v>5.8</x:v>
      </x:c>
      <x:c r="AL78" s="11">
        <x:v>6</x:v>
      </x:c>
      <x:c r="AM78" s="8">
        <x:v>5.9</x:v>
      </x:c>
      <x:c r="AN78" s="8">
        <x:v>5.4</x:v>
      </x:c>
      <x:c r="AO78" s="8">
        <x:v>5.3</x:v>
      </x:c>
      <x:c r="AP78" s="8">
        <x:v>5.2</x:v>
      </x:c>
      <x:c r="AQ78" s="8"/>
      <x:c r="AR78" s="8">
        <x:v>4.4000000000000004</x:v>
      </x:c>
      <x:c r="AS78" s="8">
        <x:v>4.3</x:v>
      </x:c>
      <x:c r="AT78" s="11">
        <x:v>4.3600000000000003</x:v>
      </x:c>
      <x:c r="AU78" s="8" t="str">
        <x:v>Not applicable—source is not an NISR publication: BNR, Annual Report.</x:v>
      </x:c>
    </x:row>
    <x:row r="79" ht="52.79999923706055" hidden="0" customHeight="1">
      <x:c r="A79" s="8" t="s">
        <x:v>415</x:v>
      </x:c>
      <x:c r="B79" s="13" t="s">
        <x:v>416</x:v>
      </x:c>
      <x:c r="C79" s="8" t="s">
        <x:v>417</x:v>
      </x:c>
      <x:c r="D79" s="8" t="s">
        <x:v>25</x:v>
      </x:c>
      <x:c r="E79" s="8" t="s">
        <x:v>26</x:v>
      </x:c>
      <x:c r="F79" s="8"/>
      <x:c r="G79" s="8" t="s">
        <x:v>25</x:v>
      </x:c>
      <x:c r="H79" s="8" t="s">
        <x:v>27</x:v>
      </x:c>
      <x:c r="I79" s="8"/>
      <x:c r="J79" s="8"/>
      <x:c r="K79" s="8"/>
      <x:c r="L79" s="8" t="s">
        <x:v>25</x:v>
      </x:c>
      <x:c r="M79" s="8"/>
      <x:c r="N79" s="8" t="s">
        <x:v>25</x:v>
      </x:c>
      <x:c r="O79" s="8" t="s">
        <x:v>33</x:v>
      </x:c>
      <x:c r="P79" s="8" t="s">
        <x:v>418</x:v>
      </x:c>
      <x:c r="Q79" s="8"/>
      <x:c r="R79" s="8" t="s">
        <x:v>25</x:v>
      </x:c>
      <x:c r="S79" s="8"/>
      <x:c r="T79" s="8" t="s">
        <x:v>25</x:v>
      </x:c>
      <x:c r="U79" s="8"/>
      <x:c r="V79" s="8"/>
      <x:c r="W79" s="8"/>
      <x:c r="X79" s="8"/>
      <x:c r="Y79" s="8"/>
      <x:c r="Z79" s="8"/>
      <x:c r="AA79" s="8"/>
      <x:c r="AB79" s="8">
        <x:v>18.899999999999999</x:v>
      </x:c>
      <x:c r="AC79" s="8"/>
      <x:c r="AD79" s="8"/>
      <x:c r="AE79" s="8"/>
      <x:c r="AF79" s="8"/>
      <x:c r="AG79" s="8">
        <x:v>36.1</x:v>
      </x:c>
      <x:c r="AH79" s="8"/>
      <x:c r="AI79" s="8"/>
      <x:c r="AJ79" s="8">
        <x:v>54.1</x:v>
      </x:c>
      <x:c r="AK79" s="8"/>
      <x:c r="AL79" s="11">
        <x:v>68</x:v>
      </x:c>
      <x:c r="AM79" s="8"/>
      <x:c r="AN79" s="8"/>
      <x:c r="AO79" s="8"/>
      <x:c r="AP79" s="11">
        <x:v>93</x:v>
      </x:c>
      <x:c r="AQ79" s="8"/>
      <x:c r="AR79" s="8"/>
      <x:c r="AS79" s="8"/>
      <x:c r="AT79" s="8"/>
      <x:c r="AU79" s="8" t="str">
        <x:v>Adults with a financial account, Financial inclusion output, FinScope Rwanda 2024 / EICV source to be confirmed (2024). Needs review: The workbook’s ‘households with at least one savings account’ proxy and 93% do not match the SDG account-ownership definition; FinScope is the likely source.</x:v>
      </x:c>
    </x:row>
    <x:row r="80" ht="26.399999618530273" hidden="1" customHeight="1">
      <x:c r="A80" s="8" t="s">
        <x:v>419</x:v>
      </x:c>
      <x:c r="B80" s="8" t="s">
        <x:v>420</x:v>
      </x:c>
      <x:c r="C80" s="8" t="s">
        <x:v>421</x:v>
      </x:c>
      <x:c r="D80" s="8" t="s">
        <x:v>25</x:v>
      </x:c>
      <x:c r="E80" s="8" t="s">
        <x:v>26</x:v>
      </x:c>
      <x:c r="F80" s="8"/>
      <x:c r="G80" s="8" t="s">
        <x:v>25</x:v>
      </x:c>
      <x:c r="H80" s="8" t="s">
        <x:v>27</x:v>
      </x:c>
      <x:c r="I80" s="8"/>
      <x:c r="J80" s="8"/>
      <x:c r="K80" s="8" t="s">
        <x:v>422</x:v>
      </x:c>
      <x:c r="L80" s="8" t="s">
        <x:v>423</x:v>
      </x:c>
      <x:c r="M80" s="8"/>
      <x:c r="N80" s="8" t="s">
        <x:v>25</x:v>
      </x:c>
      <x:c r="O80" s="8" t="s">
        <x:v>424</x:v>
      </x:c>
      <x:c r="P80" s="8" t="s">
        <x:v>420</x:v>
      </x:c>
      <x:c r="Q80" s="8"/>
      <x:c r="R80" s="8" t="s">
        <x:v>25</x:v>
      </x:c>
      <x:c r="S80" s="8"/>
      <x:c r="T80" s="8" t="s">
        <x:v>25</x:v>
      </x:c>
      <x:c r="U80" s="8"/>
      <x:c r="V80" s="8"/>
      <x:c r="W80" s="8"/>
      <x:c r="X80" s="8"/>
      <x:c r="Y80" s="8"/>
      <x:c r="Z80" s="8"/>
      <x:c r="AA80" s="8"/>
      <x:c r="AB80" s="8"/>
      <x:c r="AC80" s="8"/>
      <x:c r="AD80" s="8"/>
      <x:c r="AE80" s="8"/>
      <x:c r="AF80" s="8"/>
      <x:c r="AG80" s="8"/>
      <x:c r="AH80" s="8"/>
      <x:c r="AI80" s="8"/>
      <x:c r="AJ80" s="8"/>
      <x:c r="AK80" s="8"/>
      <x:c r="AL80" s="8"/>
      <x:c r="AM80" s="8"/>
      <x:c r="AN80" s="8">
        <x:v>63</x:v>
      </x:c>
      <x:c r="AO80" s="8"/>
      <x:c r="AP80" s="8"/>
      <x:c r="AQ80" s="8"/>
      <x:c r="AR80" s="8"/>
      <x:c r="AS80" s="8"/>
      <x:c r="AT80" s="8"/>
      <x:c r="AU80" s="8" t="str">
        <x:v>Not applicable—source is not an NISR publication: Study on road and public transport accessibility in Rwanda (MININFRA).</x:v>
      </x:c>
    </x:row>
    <x:row r="81" ht="14.399999618530273" hidden="1" customHeight="1">
      <x:c r="A81" s="8" t="s">
        <x:v>425</x:v>
      </x:c>
      <x:c r="B81" s="8" t="s">
        <x:v>426</x:v>
      </x:c>
      <x:c r="C81" s="8" t="s">
        <x:v>427</x:v>
      </x:c>
      <x:c r="D81" s="8" t="s">
        <x:v>25</x:v>
      </x:c>
      <x:c r="E81" s="8" t="s">
        <x:v>428</x:v>
      </x:c>
      <x:c r="F81" s="8">
        <x:v>3</x:v>
      </x:c>
      <x:c r="G81" s="8" t="s">
        <x:v>25</x:v>
      </x:c>
      <x:c r="H81" s="8" t="s">
        <x:v>27</x:v>
      </x:c>
      <x:c r="I81" s="8"/>
      <x:c r="J81" s="8"/>
      <x:c r="K81" s="8"/>
      <x:c r="L81" s="8" t="s">
        <x:v>25</x:v>
      </x:c>
      <x:c r="M81" s="8" t="s">
        <x:v>25</x:v>
      </x:c>
      <x:c r="N81" s="8" t="s">
        <x:v>25</x:v>
      </x:c>
      <x:c r="O81" s="8" t="s">
        <x:v>429</x:v>
      </x:c>
      <x:c r="P81" s="8" t="s">
        <x:v>430</x:v>
      </x:c>
      <x:c r="Q81" s="8"/>
      <x:c r="R81" s="8" t="s">
        <x:v>25</x:v>
      </x:c>
      <x:c r="S81" s="8"/>
      <x:c r="T81" s="8" t="s">
        <x:v>25</x:v>
      </x:c>
      <x:c r="U81" s="8"/>
      <x:c r="V81" s="8"/>
      <x:c r="W81" s="8"/>
      <x:c r="X81" s="8"/>
      <x:c r="Y81" s="8"/>
      <x:c r="Z81" s="8"/>
      <x:c r="AA81" s="8"/>
      <x:c r="AB81" s="8"/>
      <x:c r="AC81" s="8"/>
      <x:c r="AD81" s="8"/>
      <x:c r="AE81" s="8"/>
      <x:c r="AF81" s="8"/>
      <x:c r="AG81" s="8"/>
      <x:c r="AH81" s="8"/>
      <x:c r="AI81" s="8"/>
      <x:c r="AJ81" s="8"/>
      <x:c r="AK81" s="11">
        <x:v>304.95999999999998</x:v>
      </x:c>
      <x:c r="AL81" s="11">
        <x:v>249.86</x:v>
      </x:c>
      <x:c r="AM81" s="11">
        <x:v>266.55</x:v>
      </x:c>
      <x:c r="AN81" s="11">
        <x:v>339.7</x:v>
      </x:c>
      <x:c r="AO81" s="11">
        <x:v>254.87</x:v>
      </x:c>
      <x:c r="AP81" s="11">
        <x:v>173.59</x:v>
      </x:c>
      <x:c r="AQ81" s="8"/>
      <x:c r="AR81" s="8"/>
      <x:c r="AS81" s="8"/>
      <x:c r="AT81" s="8"/>
      <x:c r="AU81" s="8" t="str">
        <x:v>Not applicable—source is not an NISR publication: MININFRA.</x:v>
      </x:c>
    </x:row>
    <x:row r="82" ht="52.79999923706055" hidden="0" customHeight="1">
      <x:c r="A82" s="8" t="s">
        <x:v>431</x:v>
      </x:c>
      <x:c r="B82" s="13" t="s">
        <x:v>432</x:v>
      </x:c>
      <x:c r="C82" s="8" t="s">
        <x:v>433</x:v>
      </x:c>
      <x:c r="D82" s="8" t="s">
        <x:v>25</x:v>
      </x:c>
      <x:c r="E82" s="8" t="s">
        <x:v>26</x:v>
      </x:c>
      <x:c r="F82" s="8"/>
      <x:c r="G82" s="8" t="s">
        <x:v>25</x:v>
      </x:c>
      <x:c r="H82" s="8" t="s">
        <x:v>27</x:v>
      </x:c>
      <x:c r="I82" s="8"/>
      <x:c r="J82" s="8"/>
      <x:c r="K82" s="8"/>
      <x:c r="L82" s="8" t="s">
        <x:v>25</x:v>
      </x:c>
      <x:c r="M82" s="8"/>
      <x:c r="N82" s="8" t="s">
        <x:v>25</x:v>
      </x:c>
      <x:c r="O82" s="8" t="s">
        <x:v>363</x:v>
      </x:c>
      <x:c r="P82" s="8" t="s">
        <x:v>434</x:v>
      </x:c>
      <x:c r="Q82" s="8"/>
      <x:c r="R82" s="8" t="s">
        <x:v>25</x:v>
      </x:c>
      <x:c r="S82" s="8"/>
      <x:c r="T82" s="8" t="s">
        <x:v>25</x:v>
      </x:c>
      <x:c r="U82" s="8"/>
      <x:c r="V82" s="8">
        <x:v>12</x:v>
      </x:c>
      <x:c r="W82" s="8">
        <x:v>11</x:v>
      </x:c>
      <x:c r="X82" s="8">
        <x:v>12</x:v>
      </x:c>
      <x:c r="Y82" s="8">
        <x:v>10</x:v>
      </x:c>
      <x:c r="Z82" s="8">
        <x:v>10</x:v>
      </x:c>
      <x:c r="AA82" s="8">
        <x:v>10</x:v>
      </x:c>
      <x:c r="AB82" s="8">
        <x:v>9</x:v>
      </x:c>
      <x:c r="AC82" s="8">
        <x:v>8</x:v>
      </x:c>
      <x:c r="AD82" s="8">
        <x:v>8</x:v>
      </x:c>
      <x:c r="AE82" s="8">
        <x:v>8</x:v>
      </x:c>
      <x:c r="AF82" s="8">
        <x:v>8</x:v>
      </x:c>
      <x:c r="AG82" s="8">
        <x:v>8</x:v>
      </x:c>
      <x:c r="AH82" s="8">
        <x:v>8</x:v>
      </x:c>
      <x:c r="AI82" s="8">
        <x:v>7</x:v>
      </x:c>
      <x:c r="AJ82" s="8">
        <x:v>7</x:v>
      </x:c>
      <x:c r="AK82" s="8">
        <x:v>7</x:v>
      </x:c>
      <x:c r="AL82" s="8">
        <x:v>7</x:v>
      </x:c>
      <x:c r="AM82" s="8">
        <x:v>8</x:v>
      </x:c>
      <x:c r="AN82" s="8">
        <x:v>8</x:v>
      </x:c>
      <x:c r="AO82" s="8">
        <x:v>8</x:v>
      </x:c>
      <x:c r="AP82" s="8">
        <x:v>9</x:v>
      </x:c>
      <x:c r="AQ82" s="8">
        <x:v>9</x:v>
      </x:c>
      <x:c r="AR82" s="8">
        <x:v>10</x:v>
      </x:c>
      <x:c r="AS82" s="8">
        <x:v>10</x:v>
      </x:c>
      <x:c r="AT82" s="8"/>
      <x:c r="AU82" s="8" t="str">
        <x:v>Manufacturing value added as a proportion of GDP, Production approach tables, GDP National Accounts 2024—Annual Report (2025). Needs review: Use the official National Accounts Excel workbook and record numerator/denominator cells; dashboard currently ends at 2023.</x:v>
      </x:c>
    </x:row>
    <x:row r="83" ht="26.399999618530273" hidden="0" customHeight="1">
      <x:c r="A83" s="8" t="s">
        <x:v>435</x:v>
      </x:c>
      <x:c r="B83" s="8" t="s">
        <x:v>436</x:v>
      </x:c>
      <x:c r="C83" s="8" t="s">
        <x:v>437</x:v>
      </x:c>
      <x:c r="D83" s="8" t="s">
        <x:v>25</x:v>
      </x:c>
      <x:c r="E83" s="8" t="s">
        <x:v>26</x:v>
      </x:c>
      <x:c r="F83" s="8"/>
      <x:c r="G83" s="8" t="s">
        <x:v>25</x:v>
      </x:c>
      <x:c r="H83" s="8" t="s">
        <x:v>27</x:v>
      </x:c>
      <x:c r="I83" s="8"/>
      <x:c r="J83" s="8"/>
      <x:c r="K83" s="8"/>
      <x:c r="L83" s="8" t="s">
        <x:v>25</x:v>
      </x:c>
      <x:c r="M83" s="8"/>
      <x:c r="N83" s="8" t="s">
        <x:v>25</x:v>
      </x:c>
      <x:c r="O83" s="8" t="s">
        <x:v>278</x:v>
      </x:c>
      <x:c r="P83" s="8" t="s">
        <x:v>436</x:v>
      </x:c>
      <x:c r="Q83" s="8"/>
      <x:c r="R83" s="8" t="s">
        <x:v>25</x:v>
      </x:c>
      <x:c r="S83" s="8"/>
      <x:c r="T83" s="8" t="s">
        <x:v>25</x:v>
      </x:c>
      <x:c r="U83" s="8"/>
      <x:c r="V83" s="8"/>
      <x:c r="W83" s="8"/>
      <x:c r="X83" s="8"/>
      <x:c r="Y83" s="8"/>
      <x:c r="Z83" s="8"/>
      <x:c r="AA83" s="8"/>
      <x:c r="AB83" s="8"/>
      <x:c r="AC83" s="8"/>
      <x:c r="AD83" s="8"/>
      <x:c r="AE83" s="8"/>
      <x:c r="AF83" s="8"/>
      <x:c r="AG83" s="8"/>
      <x:c r="AH83" s="8"/>
      <x:c r="AI83" s="8"/>
      <x:c r="AJ83" s="8"/>
      <x:c r="AK83" s="8"/>
      <x:c r="AL83" s="8"/>
      <x:c r="AM83" s="8">
        <x:v>5.3</x:v>
      </x:c>
      <x:c r="AN83" s="8">
        <x:v>6.4</x:v>
      </x:c>
      <x:c r="AO83" s="8">
        <x:v>6.4</x:v>
      </x:c>
      <x:c r="AP83" s="8">
        <x:v>5.8</x:v>
      </x:c>
      <x:c r="AQ83" s="8">
        <x:v>4.8</x:v>
      </x:c>
      <x:c r="AR83" s="8">
        <x:v>5.3</x:v>
      </x:c>
      <x:c r="AS83" s="8">
        <x:v>5.5</x:v>
      </x:c>
      <x:c r="AT83" s="8">
        <x:v>5.7</x:v>
      </x:c>
      <x:c r="AU83" s="8" t="str">
        <x:v>Unnumbered summary table, Trend of Labour Force Survey main indicators, p. 15, Labour Force Survey Annual Report 2024 (2025)</x:v>
      </x:c>
    </x:row>
    <x:row r="84" ht="14.399999618530273" hidden="1" customHeight="1">
      <x:c r="A84" s="8" t="s">
        <x:v>438</x:v>
      </x:c>
      <x:c r="B84" s="8" t="s">
        <x:v>439</x:v>
      </x:c>
      <x:c r="C84" s="8" t="s">
        <x:v>440</x:v>
      </x:c>
      <x:c r="D84" s="8" t="s">
        <x:v>25</x:v>
      </x:c>
      <x:c r="E84" s="8" t="s">
        <x:v>441</x:v>
      </x:c>
      <x:c r="F84" s="8"/>
      <x:c r="G84" s="8" t="s">
        <x:v>25</x:v>
      </x:c>
      <x:c r="H84" s="8" t="s">
        <x:v>27</x:v>
      </x:c>
      <x:c r="I84" s="8"/>
      <x:c r="J84" s="8"/>
      <x:c r="K84" s="8"/>
      <x:c r="L84" s="8" t="s">
        <x:v>25</x:v>
      </x:c>
      <x:c r="M84" s="8"/>
      <x:c r="N84" s="8" t="s">
        <x:v>25</x:v>
      </x:c>
      <x:c r="O84" s="8" t="s">
        <x:v>442</x:v>
      </x:c>
      <x:c r="P84" s="8" t="s">
        <x:v>443</x:v>
      </x:c>
      <x:c r="Q84" s="8"/>
      <x:c r="R84" s="8" t="s">
        <x:v>25</x:v>
      </x:c>
      <x:c r="S84" s="8"/>
      <x:c r="T84" s="8" t="s">
        <x:v>25</x:v>
      </x:c>
      <x:c r="U84" s="8"/>
      <x:c r="V84" s="11">
        <x:v>9.1999999999999998E-2</x:v>
      </x:c>
      <x:c r="W84" s="11">
        <x:v>8.5999999999999993E-2</x:v>
      </x:c>
      <x:c r="X84" s="11">
        <x:v>0.09</x:v>
      </x:c>
      <x:c r="Y84" s="11">
        <x:v>7.4999999999999997E-2</x:v>
      </x:c>
      <x:c r="Z84" s="11">
        <x:v>6.7000000000000004E-2</x:v>
      </x:c>
      <x:c r="AA84" s="11">
        <x:v>6.7000000000000004E-2</x:v>
      </x:c>
      <x:c r="AB84" s="11">
        <x:v>6.2E-2</x:v>
      </x:c>
      <x:c r="AC84" s="11">
        <x:v>5.1999999999999998E-2</x:v>
      </x:c>
      <x:c r="AD84" s="11">
        <x:v>4.5999999999999999E-2</x:v>
      </x:c>
      <x:c r="AE84" s="11">
        <x:v>4.4999999999999998E-2</x:v>
      </x:c>
      <x:c r="AF84" s="11">
        <x:v>4.3999999999999997E-2</x:v>
      </x:c>
      <x:c r="AG84" s="11">
        <x:v>4.2999999999999997E-2</x:v>
      </x:c>
      <x:c r="AH84" s="11">
        <x:v>4.3999999999999997E-2</x:v>
      </x:c>
      <x:c r="AI84" s="11">
        <x:v>4.7E-2</x:v>
      </x:c>
      <x:c r="AJ84" s="11">
        <x:v>4.4999999999999998E-2</x:v>
      </x:c>
      <x:c r="AK84" s="11">
        <x:v>4.7E-2</x:v>
      </x:c>
      <x:c r="AL84" s="11">
        <x:v>4.5999999999999999E-2</x:v>
      </x:c>
      <x:c r="AM84" s="11">
        <x:v>4.8000000000000001E-2</x:v>
      </x:c>
      <x:c r="AN84" s="11">
        <x:v>4.9000000000000002E-2</x:v>
      </x:c>
      <x:c r="AO84" s="11">
        <x:v>4.5999999999999999E-2</x:v>
      </x:c>
      <x:c r="AP84" s="11">
        <x:v>4.4999999999999998E-2</x:v>
      </x:c>
      <x:c r="AQ84" s="8"/>
      <x:c r="AR84" s="8"/>
      <x:c r="AS84" s="8"/>
      <x:c r="AT84" s="8"/>
      <x:c r="AU84" s="8" t="str">
        <x:v>Not applicable—source is not an NISR publication: UNSD, Global SDG database.</x:v>
      </x:c>
    </x:row>
    <x:row r="85" ht="26.399999618530273" hidden="1" customHeight="1">
      <x:c r="A85" s="8" t="s">
        <x:v>444</x:v>
      </x:c>
      <x:c r="B85" s="8" t="s">
        <x:v>445</x:v>
      </x:c>
      <x:c r="C85" s="8" t="s">
        <x:v>446</x:v>
      </x:c>
      <x:c r="D85" s="8" t="s">
        <x:v>25</x:v>
      </x:c>
      <x:c r="E85" s="8" t="s">
        <x:v>26</x:v>
      </x:c>
      <x:c r="F85" s="8"/>
      <x:c r="G85" s="8" t="s">
        <x:v>25</x:v>
      </x:c>
      <x:c r="H85" s="8" t="s">
        <x:v>27</x:v>
      </x:c>
      <x:c r="I85" s="8"/>
      <x:c r="J85" s="8"/>
      <x:c r="K85" s="8"/>
      <x:c r="L85" s="8" t="s">
        <x:v>25</x:v>
      </x:c>
      <x:c r="M85" s="8"/>
      <x:c r="N85" s="8" t="s">
        <x:v>25</x:v>
      </x:c>
      <x:c r="O85" s="8" t="s">
        <x:v>447</x:v>
      </x:c>
      <x:c r="P85" s="8" t="s">
        <x:v>448</x:v>
      </x:c>
      <x:c r="Q85" s="8"/>
      <x:c r="R85" s="8" t="s">
        <x:v>25</x:v>
      </x:c>
      <x:c r="S85" s="8"/>
      <x:c r="T85" s="8" t="s">
        <x:v>25</x:v>
      </x:c>
      <x:c r="U85" s="8"/>
      <x:c r="V85" s="8"/>
      <x:c r="W85" s="8"/>
      <x:c r="X85" s="8"/>
      <x:c r="Y85" s="8"/>
      <x:c r="Z85" s="8"/>
      <x:c r="AA85" s="8"/>
      <x:c r="AB85" s="8"/>
      <x:c r="AC85" s="8"/>
      <x:c r="AD85" s="8"/>
      <x:c r="AE85" s="8"/>
      <x:c r="AF85" s="8"/>
      <x:c r="AG85" s="8"/>
      <x:c r="AH85" s="8"/>
      <x:c r="AI85" s="8"/>
      <x:c r="AJ85" s="8"/>
      <x:c r="AK85" s="8"/>
      <x:c r="AL85" s="11">
        <x:v>0.64978000000000002</x:v>
      </x:c>
      <x:c r="AM85" s="8"/>
      <x:c r="AN85" s="11">
        <x:v>0.69</x:v>
      </x:c>
      <x:c r="AO85" s="8"/>
      <x:c r="AP85" s="8"/>
      <x:c r="AQ85" s="8"/>
      <x:c r="AR85" s="11">
        <x:v>0.69</x:v>
      </x:c>
      <x:c r="AS85" s="8"/>
      <x:c r="AT85" s="8"/>
      <x:c r="AU85" s="8" t="str">
        <x:v>Not applicable—source is not an NISR publication: National Council for Science and Technology.</x:v>
      </x:c>
    </x:row>
    <x:row r="86" ht="14.399999618530273" hidden="1" customHeight="1">
      <x:c r="A86" s="8" t="s">
        <x:v>449</x:v>
      </x:c>
      <x:c r="B86" s="8" t="s">
        <x:v>450</x:v>
      </x:c>
      <x:c r="C86" s="8" t="s">
        <x:v>451</x:v>
      </x:c>
      <x:c r="D86" s="8" t="s">
        <x:v>25</x:v>
      </x:c>
      <x:c r="E86" s="8" t="s">
        <x:v>452</x:v>
      </x:c>
      <x:c r="F86" s="8"/>
      <x:c r="G86" s="8" t="s">
        <x:v>25</x:v>
      </x:c>
      <x:c r="H86" s="8" t="s">
        <x:v>27</x:v>
      </x:c>
      <x:c r="I86" s="8"/>
      <x:c r="J86" s="8"/>
      <x:c r="K86" s="8"/>
      <x:c r="L86" s="8" t="s">
        <x:v>25</x:v>
      </x:c>
      <x:c r="M86" s="8"/>
      <x:c r="N86" s="8" t="s">
        <x:v>25</x:v>
      </x:c>
      <x:c r="O86" s="8" t="s">
        <x:v>442</x:v>
      </x:c>
      <x:c r="P86" s="8" t="s">
        <x:v>450</x:v>
      </x:c>
      <x:c r="Q86" s="8"/>
      <x:c r="R86" s="8" t="s">
        <x:v>25</x:v>
      </x:c>
      <x:c r="S86" s="8"/>
      <x:c r="T86" s="8" t="s">
        <x:v>25</x:v>
      </x:c>
      <x:c r="U86" s="8"/>
      <x:c r="V86" s="8"/>
      <x:c r="W86" s="8"/>
      <x:c r="X86" s="8"/>
      <x:c r="Y86" s="8"/>
      <x:c r="Z86" s="8"/>
      <x:c r="AA86" s="8"/>
      <x:c r="AB86" s="8"/>
      <x:c r="AC86" s="8"/>
      <x:c r="AD86" s="11">
        <x:v>10.89817</x:v>
      </x:c>
      <x:c r="AE86" s="11">
        <x:v>12.59357</x:v>
      </x:c>
      <x:c r="AF86" s="8"/>
      <x:c r="AG86" s="8"/>
      <x:c r="AH86" s="8"/>
      <x:c r="AI86" s="11">
        <x:v>15.5482</x:v>
      </x:c>
      <x:c r="AJ86" s="8"/>
      <x:c r="AK86" s="8"/>
      <x:c r="AL86" s="11">
        <x:v>13.860860000000001</x:v>
      </x:c>
      <x:c r="AM86" s="8"/>
      <x:c r="AN86" s="8"/>
      <x:c r="AO86" s="11">
        <x:v>58.763199999999998</x:v>
      </x:c>
      <x:c r="AP86" s="8"/>
      <x:c r="AQ86" s="8"/>
      <x:c r="AR86" s="8"/>
      <x:c r="AS86" s="8"/>
      <x:c r="AT86" s="8"/>
      <x:c r="AU86" s="8" t="str">
        <x:v>Not applicable—source is not an NISR publication: UNSD, Global SDG database.</x:v>
      </x:c>
    </x:row>
    <x:row r="87" ht="26.399999618530273" hidden="1" customHeight="1">
      <x:c r="A87" s="8" t="s">
        <x:v>453</x:v>
      </x:c>
      <x:c r="B87" s="8" t="s">
        <x:v>454</x:v>
      </x:c>
      <x:c r="C87" s="8" t="s">
        <x:v>455</x:v>
      </x:c>
      <x:c r="D87" s="8" t="s">
        <x:v>25</x:v>
      </x:c>
      <x:c r="E87" s="8" t="s">
        <x:v>26</x:v>
      </x:c>
      <x:c r="F87" s="8"/>
      <x:c r="G87" s="8" t="s">
        <x:v>25</x:v>
      </x:c>
      <x:c r="H87" s="8" t="s">
        <x:v>27</x:v>
      </x:c>
      <x:c r="I87" s="8"/>
      <x:c r="J87" s="8"/>
      <x:c r="K87" s="8"/>
      <x:c r="L87" s="8" t="s">
        <x:v>25</x:v>
      </x:c>
      <x:c r="M87" s="8"/>
      <x:c r="N87" s="8" t="s">
        <x:v>25</x:v>
      </x:c>
      <x:c r="O87" s="8" t="s">
        <x:v>456</x:v>
      </x:c>
      <x:c r="P87" s="8" t="s">
        <x:v>457</x:v>
      </x:c>
      <x:c r="Q87" s="8"/>
      <x:c r="R87" s="8" t="s">
        <x:v>25</x:v>
      </x:c>
      <x:c r="S87" s="8"/>
      <x:c r="T87" s="8" t="s">
        <x:v>25</x:v>
      </x:c>
      <x:c r="U87" s="8"/>
      <x:c r="V87" s="8"/>
      <x:c r="W87" s="8"/>
      <x:c r="X87" s="8"/>
      <x:c r="Y87" s="8"/>
      <x:c r="Z87" s="8"/>
      <x:c r="AA87" s="8"/>
      <x:c r="AB87" s="8"/>
      <x:c r="AC87" s="8"/>
      <x:c r="AD87" s="8"/>
      <x:c r="AE87" s="8"/>
      <x:c r="AF87" s="8"/>
      <x:c r="AG87" s="8"/>
      <x:c r="AH87" s="8"/>
      <x:c r="AI87" s="8"/>
      <x:c r="AJ87" s="8"/>
      <x:c r="AK87" s="11">
        <x:v>99.91</x:v>
      </x:c>
      <x:c r="AL87" s="11">
        <x:v>99.92</x:v>
      </x:c>
      <x:c r="AM87" s="11">
        <x:v>99.92</x:v>
      </x:c>
      <x:c r="AN87" s="11">
        <x:v>99.92</x:v>
      </x:c>
      <x:c r="AO87" s="11">
        <x:v>99.94</x:v>
      </x:c>
      <x:c r="AP87" s="8"/>
      <x:c r="AQ87" s="8"/>
      <x:c r="AR87" s="11">
        <x:v>99.92</x:v>
      </x:c>
      <x:c r="AS87" s="8"/>
      <x:c r="AT87" s="8"/>
      <x:c r="AU87" s="8" t="str">
        <x:v>Not applicable—source is not an NISR publication: Statistics report for telecom, media and postal services, RURA.</x:v>
      </x:c>
    </x:row>
    <x:row r="88" ht="52.79999923706055" hidden="0" customHeight="1">
      <x:c r="A88" s="8" t="s">
        <x:v>458</x:v>
      </x:c>
      <x:c r="B88" s="8" t="s">
        <x:v>459</x:v>
      </x:c>
      <x:c r="C88" s="8" t="s">
        <x:v>460</x:v>
      </x:c>
      <x:c r="D88" s="8" t="s">
        <x:v>25</x:v>
      </x:c>
      <x:c r="E88" s="8" t="s">
        <x:v>26</x:v>
      </x:c>
      <x:c r="F88" s="8"/>
      <x:c r="G88" s="8" t="s">
        <x:v>25</x:v>
      </x:c>
      <x:c r="H88" s="8" t="s">
        <x:v>27</x:v>
      </x:c>
      <x:c r="I88" s="8"/>
      <x:c r="J88" s="8"/>
      <x:c r="K88" s="8"/>
      <x:c r="L88" s="8" t="s">
        <x:v>25</x:v>
      </x:c>
      <x:c r="M88" s="8"/>
      <x:c r="N88" s="8" t="s">
        <x:v>25</x:v>
      </x:c>
      <x:c r="O88" s="8" t="s">
        <x:v>278</x:v>
      </x:c>
      <x:c r="P88" s="8" t="s">
        <x:v>461</x:v>
      </x:c>
      <x:c r="Q88" s="8"/>
      <x:c r="R88" s="8" t="s">
        <x:v>25</x:v>
      </x:c>
      <x:c r="S88" s="8"/>
      <x:c r="T88" s="8" t="s">
        <x:v>25</x:v>
      </x:c>
      <x:c r="U88" s="8"/>
      <x:c r="V88" s="8"/>
      <x:c r="W88" s="8"/>
      <x:c r="X88" s="8"/>
      <x:c r="Y88" s="8"/>
      <x:c r="Z88" s="8"/>
      <x:c r="AA88" s="8"/>
      <x:c r="AB88" s="8"/>
      <x:c r="AC88" s="8"/>
      <x:c r="AD88" s="8"/>
      <x:c r="AE88" s="8"/>
      <x:c r="AF88" s="8"/>
      <x:c r="AG88" s="8"/>
      <x:c r="AH88" s="8"/>
      <x:c r="AI88" s="8"/>
      <x:c r="AJ88" s="8"/>
      <x:c r="AK88" s="8"/>
      <x:c r="AL88" s="8"/>
      <x:c r="AM88" s="8"/>
      <x:c r="AN88" s="8"/>
      <x:c r="AO88" s="8">
        <x:v>0.3</x:v>
      </x:c>
      <x:c r="AP88" s="8"/>
      <x:c r="AQ88" s="8">
        <x:v>0.1</x:v>
      </x:c>
      <x:c r="AR88" s="8">
        <x:v>0.1</x:v>
      </x:c>
      <x:c r="AS88" s="8">
        <x:v>0.2</x:v>
      </x:c>
      <x:c r="AT88" s="8"/>
      <x:c r="AU88" s="8" t="str">
        <x:v>Reason for stopping last employment, Reason for stopping last employment, Labour Force Survey annual/microdata output (2024). Needs review: This is a proxy and does not measure personal discrimination/harassment as defined by SDG 10.3.1; policy approval required.</x:v>
      </x:c>
    </x:row>
    <x:row r="89" ht="14.399999618530273" hidden="1" customHeight="1">
      <x:c r="A89" s="8" t="s">
        <x:v>462</x:v>
      </x:c>
      <x:c r="B89" s="8" t="s">
        <x:v>463</x:v>
      </x:c>
      <x:c r="C89" s="8" t="s">
        <x:v>464</x:v>
      </x:c>
      <x:c r="D89" s="8" t="s">
        <x:v>25</x:v>
      </x:c>
      <x:c r="E89" s="8" t="s">
        <x:v>26</x:v>
      </x:c>
      <x:c r="F89" s="8"/>
      <x:c r="G89" s="8" t="s">
        <x:v>25</x:v>
      </x:c>
      <x:c r="H89" s="8" t="s">
        <x:v>27</x:v>
      </x:c>
      <x:c r="I89" s="8"/>
      <x:c r="J89" s="8"/>
      <x:c r="K89" s="8"/>
      <x:c r="L89" s="8" t="s">
        <x:v>25</x:v>
      </x:c>
      <x:c r="M89" s="8"/>
      <x:c r="N89" s="8" t="s">
        <x:v>25</x:v>
      </x:c>
      <x:c r="O89" s="8" t="s">
        <x:v>442</x:v>
      </x:c>
      <x:c r="P89" s="8" t="s">
        <x:v>465</x:v>
      </x:c>
      <x:c r="Q89" s="8"/>
      <x:c r="R89" s="8" t="s">
        <x:v>25</x:v>
      </x:c>
      <x:c r="S89" s="8"/>
      <x:c r="T89" s="8" t="s">
        <x:v>25</x:v>
      </x:c>
      <x:c r="U89" s="8"/>
      <x:c r="V89" s="8"/>
      <x:c r="W89" s="8"/>
      <x:c r="X89" s="8"/>
      <x:c r="Y89" s="8"/>
      <x:c r="Z89" s="8"/>
      <x:c r="AA89" s="8"/>
      <x:c r="AB89" s="8"/>
      <x:c r="AC89" s="8"/>
      <x:c r="AD89" s="8"/>
      <x:c r="AE89" s="8"/>
      <x:c r="AF89" s="8"/>
      <x:c r="AG89" s="8"/>
      <x:c r="AH89" s="8">
        <x:v>43.1</x:v>
      </x:c>
      <x:c r="AI89" s="8">
        <x:v>44.3</x:v>
      </x:c>
      <x:c r="AJ89" s="11">
        <x:v>44</x:v>
      </x:c>
      <x:c r="AK89" s="8">
        <x:v>43.2</x:v>
      </x:c>
      <x:c r="AL89" s="11">
        <x:v>44</x:v>
      </x:c>
      <x:c r="AM89" s="8">
        <x:v>44.6</x:v>
      </x:c>
      <x:c r="AN89" s="8">
        <x:v>43.2</x:v>
      </x:c>
      <x:c r="AO89" s="11">
        <x:v>43</x:v>
      </x:c>
      <x:c r="AP89" s="8">
        <x:v>44.2</x:v>
      </x:c>
      <x:c r="AQ89" s="8"/>
      <x:c r="AR89" s="8"/>
      <x:c r="AS89" s="8"/>
      <x:c r="AT89" s="8"/>
      <x:c r="AU89" s="8" t="str">
        <x:v>Not applicable—source is not an NISR publication: UNSD, Global SDG database.</x:v>
      </x:c>
    </x:row>
    <x:row r="90" ht="26.399999618530273" hidden="1" customHeight="1">
      <x:c r="A90" s="8" t="s">
        <x:v>466</x:v>
      </x:c>
      <x:c r="B90" s="8" t="s">
        <x:v>467</x:v>
      </x:c>
      <x:c r="C90" s="8" t="s">
        <x:v>468</x:v>
      </x:c>
      <x:c r="D90" s="8" t="s">
        <x:v>25</x:v>
      </x:c>
      <x:c r="E90" s="8" t="s">
        <x:v>26</x:v>
      </x:c>
      <x:c r="F90" s="8"/>
      <x:c r="G90" s="8" t="s">
        <x:v>25</x:v>
      </x:c>
      <x:c r="H90" s="8" t="s">
        <x:v>27</x:v>
      </x:c>
      <x:c r="I90" s="8"/>
      <x:c r="J90" s="8"/>
      <x:c r="K90" s="8"/>
      <x:c r="L90" s="8" t="s">
        <x:v>25</x:v>
      </x:c>
      <x:c r="M90" s="8"/>
      <x:c r="N90" s="8" t="s">
        <x:v>25</x:v>
      </x:c>
      <x:c r="O90" s="8" t="s">
        <x:v>469</x:v>
      </x:c>
      <x:c r="P90" s="8" t="s">
        <x:v>470</x:v>
      </x:c>
      <x:c r="Q90" s="8"/>
      <x:c r="R90" s="8" t="s">
        <x:v>25</x:v>
      </x:c>
      <x:c r="S90" s="8"/>
      <x:c r="T90" s="8" t="s">
        <x:v>25</x:v>
      </x:c>
      <x:c r="U90" s="8"/>
      <x:c r="V90" s="8"/>
      <x:c r="W90" s="8"/>
      <x:c r="X90" s="8"/>
      <x:c r="Y90" s="8"/>
      <x:c r="Z90" s="8"/>
      <x:c r="AA90" s="8"/>
      <x:c r="AB90" s="8"/>
      <x:c r="AC90" s="8"/>
      <x:c r="AD90" s="8"/>
      <x:c r="AE90" s="8"/>
      <x:c r="AF90" s="8"/>
      <x:c r="AG90" s="8"/>
      <x:c r="AH90" s="8"/>
      <x:c r="AI90" s="8"/>
      <x:c r="AJ90" s="8"/>
      <x:c r="AK90" s="8"/>
      <x:c r="AL90" s="11">
        <x:v>23.34</x:v>
      </x:c>
      <x:c r="AM90" s="8"/>
      <x:c r="AN90" s="8">
        <x:v>25.5</x:v>
      </x:c>
      <x:c r="AO90" s="8">
        <x:v>24.1</x:v>
      </x:c>
      <x:c r="AP90" s="8">
        <x:v>21.5</x:v>
      </x:c>
      <x:c r="AQ90" s="8">
        <x:v>21.5</x:v>
      </x:c>
      <x:c r="AR90" s="8">
        <x:v>21.7</x:v>
      </x:c>
      <x:c r="AS90" s="8">
        <x:v>21.5</x:v>
      </x:c>
      <x:c r="AT90" s="8"/>
      <x:c r="AU90" s="8" t="str">
        <x:v>Not applicable—source is not an NISR publication: BNR, Annual Financial Stability Report.</x:v>
      </x:c>
    </x:row>
    <x:row r="91" ht="14.399999618530273" hidden="1" customHeight="1">
      <x:c r="A91" s="8" t="s">
        <x:v>471</x:v>
      </x:c>
      <x:c r="B91" s="8" t="s">
        <x:v>472</x:v>
      </x:c>
      <x:c r="C91" s="8" t="s">
        <x:v>473</x:v>
      </x:c>
      <x:c r="D91" s="8" t="s">
        <x:v>25</x:v>
      </x:c>
      <x:c r="E91" s="8" t="s">
        <x:v>26</x:v>
      </x:c>
      <x:c r="F91" s="8"/>
      <x:c r="G91" s="8" t="s">
        <x:v>25</x:v>
      </x:c>
      <x:c r="H91" s="8" t="s">
        <x:v>27</x:v>
      </x:c>
      <x:c r="I91" s="8"/>
      <x:c r="J91" s="8"/>
      <x:c r="K91" s="8"/>
      <x:c r="L91" s="8" t="s">
        <x:v>25</x:v>
      </x:c>
      <x:c r="M91" s="8"/>
      <x:c r="N91" s="8" t="s">
        <x:v>25</x:v>
      </x:c>
      <x:c r="O91" s="8" t="s">
        <x:v>474</x:v>
      </x:c>
      <x:c r="P91" s="8" t="s">
        <x:v>472</x:v>
      </x:c>
      <x:c r="Q91" s="8"/>
      <x:c r="R91" s="8" t="s">
        <x:v>25</x:v>
      </x:c>
      <x:c r="S91" s="8"/>
      <x:c r="T91" s="8" t="s">
        <x:v>25</x:v>
      </x:c>
      <x:c r="U91" s="8"/>
      <x:c r="V91" s="8"/>
      <x:c r="W91" s="8"/>
      <x:c r="X91" s="8"/>
      <x:c r="Y91" s="8"/>
      <x:c r="Z91" s="8"/>
      <x:c r="AA91" s="8"/>
      <x:c r="AB91" s="8"/>
      <x:c r="AC91" s="8"/>
      <x:c r="AD91" s="8"/>
      <x:c r="AE91" s="8"/>
      <x:c r="AF91" s="8"/>
      <x:c r="AG91" s="8"/>
      <x:c r="AH91" s="8"/>
      <x:c r="AI91" s="8"/>
      <x:c r="AJ91" s="8"/>
      <x:c r="AK91" s="8"/>
      <x:c r="AL91" s="8"/>
      <x:c r="AM91" s="11">
        <x:v>4</x:v>
      </x:c>
      <x:c r="AN91" s="8"/>
      <x:c r="AO91" s="11">
        <x:v>4</x:v>
      </x:c>
      <x:c r="AP91" s="8"/>
      <x:c r="AQ91" s="8"/>
      <x:c r="AR91" s="8">
        <x:v>0.2</x:v>
      </x:c>
      <x:c r="AS91" s="8"/>
      <x:c r="AT91" s="8"/>
      <x:c r="AU91" s="8" t="str">
        <x:v>Not applicable—source is not an NISR publication: BNR.</x:v>
      </x:c>
    </x:row>
    <x:row r="92" ht="39.599998474121094" hidden="0" customHeight="1">
      <x:c r="A92" s="8" t="s">
        <x:v>475</x:v>
      </x:c>
      <x:c r="B92" s="8" t="s">
        <x:v>476</x:v>
      </x:c>
      <x:c r="C92" s="8" t="s">
        <x:v>477</x:v>
      </x:c>
      <x:c r="D92" s="8" t="s">
        <x:v>25</x:v>
      </x:c>
      <x:c r="E92" s="8" t="s">
        <x:v>26</x:v>
      </x:c>
      <x:c r="F92" s="8"/>
      <x:c r="G92" s="8" t="s">
        <x:v>25</x:v>
      </x:c>
      <x:c r="H92" s="8" t="s">
        <x:v>27</x:v>
      </x:c>
      <x:c r="I92" s="8"/>
      <x:c r="J92" s="8"/>
      <x:c r="K92" s="8" t="s">
        <x:v>478</x:v>
      </x:c>
      <x:c r="L92" s="8" t="s">
        <x:v>479</x:v>
      </x:c>
      <x:c r="M92" s="8"/>
      <x:c r="N92" s="8" t="s">
        <x:v>25</x:v>
      </x:c>
      <x:c r="O92" s="8" t="s">
        <x:v>480</x:v>
      </x:c>
      <x:c r="P92" s="8" t="s">
        <x:v>481</x:v>
      </x:c>
      <x:c r="Q92" s="8"/>
      <x:c r="R92" s="8" t="s">
        <x:v>25</x:v>
      </x:c>
      <x:c r="S92" s="8"/>
      <x:c r="T92" s="8" t="s">
        <x:v>25</x:v>
      </x:c>
      <x:c r="U92" s="8"/>
      <x:c r="V92" s="8"/>
      <x:c r="W92" s="8"/>
      <x:c r="X92" s="8"/>
      <x:c r="Y92" s="8"/>
      <x:c r="Z92" s="8"/>
      <x:c r="AA92" s="8"/>
      <x:c r="AB92" s="8"/>
      <x:c r="AC92" s="8"/>
      <x:c r="AD92" s="8"/>
      <x:c r="AE92" s="8"/>
      <x:c r="AF92" s="8"/>
      <x:c r="AG92" s="8"/>
      <x:c r="AH92" s="8"/>
      <x:c r="AI92" s="8"/>
      <x:c r="AJ92" s="8">
        <x:v>62.6</x:v>
      </x:c>
      <x:c r="AK92" s="8"/>
      <x:c r="AL92" s="8"/>
      <x:c r="AM92" s="8">
        <x:v>52.5</x:v>
      </x:c>
      <x:c r="AN92" s="8"/>
      <x:c r="AO92" s="8"/>
      <x:c r="AP92" s="8"/>
      <x:c r="AQ92" s="8"/>
      <x:c r="AR92" s="11">
        <x:v>25</x:v>
      </x:c>
      <x:c r="AS92" s="8"/>
      <x:c r="AT92" s="8">
        <x:v>22.4</x:v>
      </x:c>
      <x:c r="AU92" s="8" t="str">
        <x:v>Table 5.2, Households by type of habitat, p. 51, EICV7 Main Indicators Report 2023/24 (2025). Needs review: The Data-sheet latest value is from 2017; update only after confirming whether the denominator is urban households or all households.</x:v>
      </x:c>
    </x:row>
    <x:row r="93" ht="26.399999618530273" hidden="1" customHeight="1">
      <x:c r="A93" s="8" t="s">
        <x:v>482</x:v>
      </x:c>
      <x:c r="B93" s="8" t="s">
        <x:v>57</x:v>
      </x:c>
      <x:c r="C93" s="8" t="s">
        <x:v>483</x:v>
      </x:c>
      <x:c r="D93" s="8" t="s">
        <x:v>25</x:v>
      </x:c>
      <x:c r="E93" s="8" t="s">
        <x:v>59</x:v>
      </x:c>
      <x:c r="F93" s="8"/>
      <x:c r="G93" s="8" t="s">
        <x:v>25</x:v>
      </x:c>
      <x:c r="H93" s="8" t="s">
        <x:v>27</x:v>
      </x:c>
      <x:c r="I93" s="8"/>
      <x:c r="J93" s="8"/>
      <x:c r="K93" s="8"/>
      <x:c r="L93" s="8" t="s">
        <x:v>25</x:v>
      </x:c>
      <x:c r="M93" s="8"/>
      <x:c r="N93" s="8" t="s">
        <x:v>25</x:v>
      </x:c>
      <x:c r="O93" s="8" t="s">
        <x:v>484</x:v>
      </x:c>
      <x:c r="P93" s="8" t="s">
        <x:v>61</x:v>
      </x:c>
      <x:c r="Q93" s="8"/>
      <x:c r="R93" s="8" t="s">
        <x:v>25</x:v>
      </x:c>
      <x:c r="S93" s="8"/>
      <x:c r="T93" s="8" t="s">
        <x:v>25</x:v>
      </x:c>
      <x:c r="U93" s="8"/>
      <x:c r="V93" s="8"/>
      <x:c r="W93" s="8"/>
      <x:c r="X93" s="8"/>
      <x:c r="Y93" s="8"/>
      <x:c r="Z93" s="8"/>
      <x:c r="AA93" s="8"/>
      <x:c r="AB93" s="8"/>
      <x:c r="AC93" s="8"/>
      <x:c r="AD93" s="8"/>
      <x:c r="AE93" s="8"/>
      <x:c r="AF93" s="8"/>
      <x:c r="AG93" s="8"/>
      <x:c r="AH93" s="8"/>
      <x:c r="AI93" s="8"/>
      <x:c r="AJ93" s="8"/>
      <x:c r="AK93" s="8"/>
      <x:c r="AL93" s="8">
        <x:v>1.59</x:v>
      </x:c>
      <x:c r="AM93" s="8">
        <x:v>0.69</x:v>
      </x:c>
      <x:c r="AN93" s="8">
        <x:v>2.1</x:v>
      </x:c>
      <x:c r="AO93" s="8">
        <x:v>1.08</x:v>
      </x:c>
      <x:c r="AP93" s="8">
        <x:v>2.35</x:v>
      </x:c>
      <x:c r="AQ93" s="8">
        <x:v>0.9</x:v>
      </x:c>
      <x:c r="AR93" s="8">
        <x:v>1.55</x:v>
      </x:c>
      <x:c r="AS93" s="8">
        <x:v>1.8</x:v>
      </x:c>
      <x:c r="AT93" s="8">
        <x:v>1.38</x:v>
      </x:c>
      <x:c r="AU93" s="8" t="str">
        <x:v>Not applicable—source is not an NISR publication: Disaster Communication System/MINEMA Assessment.</x:v>
      </x:c>
    </x:row>
    <x:row r="94" ht="26.399999618530273" hidden="1" customHeight="1">
      <x:c r="A94" s="8" t="s">
        <x:v>485</x:v>
      </x:c>
      <x:c r="B94" s="8" t="s">
        <x:v>63</x:v>
      </x:c>
      <x:c r="C94" s="8" t="s">
        <x:v>486</x:v>
      </x:c>
      <x:c r="D94" s="8" t="s">
        <x:v>25</x:v>
      </x:c>
      <x:c r="E94" s="8" t="s">
        <x:v>53</x:v>
      </x:c>
      <x:c r="F94" s="8"/>
      <x:c r="G94" s="8" t="s">
        <x:v>25</x:v>
      </x:c>
      <x:c r="H94" s="8" t="s">
        <x:v>27</x:v>
      </x:c>
      <x:c r="I94" s="8"/>
      <x:c r="J94" s="8"/>
      <x:c r="K94" s="8"/>
      <x:c r="L94" s="8" t="s">
        <x:v>25</x:v>
      </x:c>
      <x:c r="M94" s="8"/>
      <x:c r="N94" s="8" t="s">
        <x:v>25</x:v>
      </x:c>
      <x:c r="O94" s="8" t="s">
        <x:v>60</x:v>
      </x:c>
      <x:c r="P94" s="8" t="s">
        <x:v>65</x:v>
      </x:c>
      <x:c r="Q94" s="8"/>
      <x:c r="R94" s="8" t="s">
        <x:v>25</x:v>
      </x:c>
      <x:c r="S94" s="8"/>
      <x:c r="T94" s="8" t="s">
        <x:v>25</x:v>
      </x:c>
      <x:c r="U94" s="8"/>
      <x:c r="V94" s="8"/>
      <x:c r="W94" s="8"/>
      <x:c r="X94" s="8"/>
      <x:c r="Y94" s="8"/>
      <x:c r="Z94" s="8"/>
      <x:c r="AA94" s="8"/>
      <x:c r="AB94" s="8"/>
      <x:c r="AC94" s="8"/>
      <x:c r="AD94" s="8"/>
      <x:c r="AE94" s="8"/>
      <x:c r="AF94" s="8"/>
      <x:c r="AG94" s="8"/>
      <x:c r="AH94" s="8"/>
      <x:c r="AI94" s="8"/>
      <x:c r="AJ94" s="8"/>
      <x:c r="AK94" s="8"/>
      <x:c r="AL94" s="8"/>
      <x:c r="AM94" s="8"/>
      <x:c r="AN94" s="8">
        <x:v>15910</x:v>
      </x:c>
      <x:c r="AO94" s="8">
        <x:v>5691</x:v>
      </x:c>
      <x:c r="AP94" s="8">
        <x:v>8098</x:v>
      </x:c>
      <x:c r="AQ94" s="8">
        <x:v>4808</x:v>
      </x:c>
      <x:c r="AR94" s="8">
        <x:v>4156</x:v>
      </x:c>
      <x:c r="AS94" s="8">
        <x:v>9955</x:v>
      </x:c>
      <x:c r="AT94" s="8">
        <x:v>2005</x:v>
      </x:c>
      <x:c r="AU94" s="8" t="str">
        <x:v>Not applicable—source is not an NISR publication: Annual disaster effects situation report , MINEMA.</x:v>
      </x:c>
    </x:row>
    <x:row r="95" ht="26.399999618530273" hidden="1" customHeight="1">
      <x:c r="A95" s="8" t="s">
        <x:v>487</x:v>
      </x:c>
      <x:c r="B95" s="8" t="s">
        <x:v>67</x:v>
      </x:c>
      <x:c r="C95" s="8" t="s">
        <x:v>488</x:v>
      </x:c>
      <x:c r="D95" s="8" t="s">
        <x:v>25</x:v>
      </x:c>
      <x:c r="E95" s="8" t="s">
        <x:v>26</x:v>
      </x:c>
      <x:c r="F95" s="8"/>
      <x:c r="G95" s="8" t="s">
        <x:v>25</x:v>
      </x:c>
      <x:c r="H95" s="8" t="s">
        <x:v>27</x:v>
      </x:c>
      <x:c r="I95" s="8"/>
      <x:c r="J95" s="8"/>
      <x:c r="K95" s="8"/>
      <x:c r="L95" s="8" t="s">
        <x:v>25</x:v>
      </x:c>
      <x:c r="M95" s="8"/>
      <x:c r="N95" s="8" t="s">
        <x:v>25</x:v>
      </x:c>
      <x:c r="O95" s="8" t="s">
        <x:v>69</x:v>
      </x:c>
      <x:c r="P95" s="8" t="s">
        <x:v>70</x:v>
      </x:c>
      <x:c r="Q95" s="8"/>
      <x:c r="R95" s="8" t="s">
        <x:v>25</x:v>
      </x:c>
      <x:c r="S95" s="8"/>
      <x:c r="T95" s="8" t="s">
        <x:v>25</x:v>
      </x:c>
      <x:c r="U95" s="8"/>
      <x:c r="V95" s="8"/>
      <x:c r="W95" s="8"/>
      <x:c r="X95" s="8"/>
      <x:c r="Y95" s="8"/>
      <x:c r="Z95" s="8"/>
      <x:c r="AA95" s="8"/>
      <x:c r="AB95" s="8"/>
      <x:c r="AC95" s="8"/>
      <x:c r="AD95" s="8"/>
      <x:c r="AE95" s="8"/>
      <x:c r="AF95" s="8"/>
      <x:c r="AG95" s="8"/>
      <x:c r="AH95" s="8"/>
      <x:c r="AI95" s="8"/>
      <x:c r="AJ95" s="8"/>
      <x:c r="AK95" s="8"/>
      <x:c r="AL95" s="8"/>
      <x:c r="AM95" s="8">
        <x:v>77.3</x:v>
      </x:c>
      <x:c r="AN95" s="8">
        <x:v>96.7</x:v>
      </x:c>
      <x:c r="AO95" s="8">
        <x:v>100</x:v>
      </x:c>
      <x:c r="AP95" s="8">
        <x:v>100</x:v>
      </x:c>
      <x:c r="AQ95" s="8">
        <x:v>100</x:v>
      </x:c>
      <x:c r="AR95" s="8">
        <x:v>100</x:v>
      </x:c>
      <x:c r="AS95" s="8">
        <x:v>100</x:v>
      </x:c>
      <x:c r="AT95" s="8"/>
      <x:c r="AU95" s="8" t="str">
        <x:v>Not applicable—source is not an NISR publication: Ministry in Charge of Emergency Management (MINEMA).</x:v>
      </x:c>
    </x:row>
    <x:row r="96" ht="26.399999618530273" hidden="1" customHeight="1">
      <x:c r="A96" s="8" t="s">
        <x:v>489</x:v>
      </x:c>
      <x:c r="B96" s="8" t="s">
        <x:v>57</x:v>
      </x:c>
      <x:c r="C96" s="8" t="s">
        <x:v>490</x:v>
      </x:c>
      <x:c r="D96" s="8" t="s">
        <x:v>25</x:v>
      </x:c>
      <x:c r="E96" s="8" t="s">
        <x:v>59</x:v>
      </x:c>
      <x:c r="F96" s="8"/>
      <x:c r="G96" s="8" t="s">
        <x:v>25</x:v>
      </x:c>
      <x:c r="H96" s="8" t="s">
        <x:v>27</x:v>
      </x:c>
      <x:c r="I96" s="8"/>
      <x:c r="J96" s="8"/>
      <x:c r="K96" s="8"/>
      <x:c r="L96" s="8" t="s">
        <x:v>25</x:v>
      </x:c>
      <x:c r="M96" s="8"/>
      <x:c r="N96" s="8" t="s">
        <x:v>25</x:v>
      </x:c>
      <x:c r="O96" s="8" t="s">
        <x:v>484</x:v>
      </x:c>
      <x:c r="P96" s="8" t="s">
        <x:v>61</x:v>
      </x:c>
      <x:c r="Q96" s="8"/>
      <x:c r="R96" s="8" t="s">
        <x:v>25</x:v>
      </x:c>
      <x:c r="S96" s="8"/>
      <x:c r="T96" s="8" t="s">
        <x:v>25</x:v>
      </x:c>
      <x:c r="U96" s="8"/>
      <x:c r="V96" s="8"/>
      <x:c r="W96" s="8"/>
      <x:c r="X96" s="8"/>
      <x:c r="Y96" s="8"/>
      <x:c r="Z96" s="8"/>
      <x:c r="AA96" s="8"/>
      <x:c r="AB96" s="8"/>
      <x:c r="AC96" s="8"/>
      <x:c r="AD96" s="8"/>
      <x:c r="AE96" s="8"/>
      <x:c r="AF96" s="8"/>
      <x:c r="AG96" s="8"/>
      <x:c r="AH96" s="8"/>
      <x:c r="AI96" s="8"/>
      <x:c r="AJ96" s="8"/>
      <x:c r="AK96" s="8"/>
      <x:c r="AL96" s="8">
        <x:v>1.59</x:v>
      </x:c>
      <x:c r="AM96" s="8">
        <x:v>0.69</x:v>
      </x:c>
      <x:c r="AN96" s="8">
        <x:v>2.1</x:v>
      </x:c>
      <x:c r="AO96" s="8">
        <x:v>1.08</x:v>
      </x:c>
      <x:c r="AP96" s="8">
        <x:v>2.35</x:v>
      </x:c>
      <x:c r="AQ96" s="8">
        <x:v>0.9</x:v>
      </x:c>
      <x:c r="AR96" s="8">
        <x:v>1.55</x:v>
      </x:c>
      <x:c r="AS96" s="8">
        <x:v>1.8</x:v>
      </x:c>
      <x:c r="AT96" s="8">
        <x:v>1.38</x:v>
      </x:c>
      <x:c r="AU96" s="8" t="str">
        <x:v>Not applicable—source is not an NISR publication: Disaster Communication System/MINEMA Assessment.</x:v>
      </x:c>
    </x:row>
    <x:row r="97" ht="26.399999618530273" hidden="1" customHeight="1">
      <x:c r="A97" s="8" t="s">
        <x:v>491</x:v>
      </x:c>
      <x:c r="B97" s="8" t="s">
        <x:v>67</x:v>
      </x:c>
      <x:c r="C97" s="8" t="s">
        <x:v>492</x:v>
      </x:c>
      <x:c r="D97" s="8" t="s">
        <x:v>25</x:v>
      </x:c>
      <x:c r="E97" s="8" t="s">
        <x:v>26</x:v>
      </x:c>
      <x:c r="F97" s="8"/>
      <x:c r="G97" s="8" t="s">
        <x:v>25</x:v>
      </x:c>
      <x:c r="H97" s="8" t="s">
        <x:v>27</x:v>
      </x:c>
      <x:c r="I97" s="8"/>
      <x:c r="J97" s="8"/>
      <x:c r="K97" s="8"/>
      <x:c r="L97" s="8" t="s">
        <x:v>25</x:v>
      </x:c>
      <x:c r="M97" s="8"/>
      <x:c r="N97" s="8" t="s">
        <x:v>25</x:v>
      </x:c>
      <x:c r="O97" s="8" t="s">
        <x:v>69</x:v>
      </x:c>
      <x:c r="P97" s="8" t="s">
        <x:v>70</x:v>
      </x:c>
      <x:c r="Q97" s="8"/>
      <x:c r="R97" s="8" t="s">
        <x:v>25</x:v>
      </x:c>
      <x:c r="S97" s="8"/>
      <x:c r="T97" s="8" t="s">
        <x:v>25</x:v>
      </x:c>
      <x:c r="U97" s="8"/>
      <x:c r="V97" s="8"/>
      <x:c r="W97" s="8"/>
      <x:c r="X97" s="8"/>
      <x:c r="Y97" s="8"/>
      <x:c r="Z97" s="8"/>
      <x:c r="AA97" s="8"/>
      <x:c r="AB97" s="8"/>
      <x:c r="AC97" s="8"/>
      <x:c r="AD97" s="8"/>
      <x:c r="AE97" s="8"/>
      <x:c r="AF97" s="8"/>
      <x:c r="AG97" s="8"/>
      <x:c r="AH97" s="8"/>
      <x:c r="AI97" s="8"/>
      <x:c r="AJ97" s="8"/>
      <x:c r="AK97" s="8"/>
      <x:c r="AL97" s="8"/>
      <x:c r="AM97" s="8">
        <x:v>77.3</x:v>
      </x:c>
      <x:c r="AN97" s="8">
        <x:v>96.7</x:v>
      </x:c>
      <x:c r="AO97" s="8">
        <x:v>100</x:v>
      </x:c>
      <x:c r="AP97" s="8">
        <x:v>100</x:v>
      </x:c>
      <x:c r="AQ97" s="8">
        <x:v>100</x:v>
      </x:c>
      <x:c r="AR97" s="8">
        <x:v>100</x:v>
      </x:c>
      <x:c r="AS97" s="8">
        <x:v>100</x:v>
      </x:c>
      <x:c r="AT97" s="8"/>
      <x:c r="AU97" s="8" t="str">
        <x:v>Not applicable—source is not an NISR publication: Ministry in Charge of Emergency Management (MINEMA).</x:v>
      </x:c>
    </x:row>
    <x:row r="98" ht="14.399999618530273" hidden="1" customHeight="1">
      <x:c r="A98" s="8" t="s">
        <x:v>493</x:v>
      </x:c>
      <x:c r="B98" s="8" t="s">
        <x:v>494</x:v>
      </x:c>
      <x:c r="C98" s="8" t="s">
        <x:v>495</x:v>
      </x:c>
      <x:c r="D98" s="8" t="s">
        <x:v>25</x:v>
      </x:c>
      <x:c r="E98" s="8" t="s">
        <x:v>26</x:v>
      </x:c>
      <x:c r="F98" s="8"/>
      <x:c r="G98" s="8" t="s">
        <x:v>25</x:v>
      </x:c>
      <x:c r="H98" s="8" t="s">
        <x:v>27</x:v>
      </x:c>
      <x:c r="I98" s="8"/>
      <x:c r="J98" s="8"/>
      <x:c r="K98" s="8"/>
      <x:c r="L98" s="8" t="s">
        <x:v>25</x:v>
      </x:c>
      <x:c r="M98" s="8"/>
      <x:c r="N98" s="8" t="s">
        <x:v>25</x:v>
      </x:c>
      <x:c r="O98" s="8" t="s">
        <x:v>496</x:v>
      </x:c>
      <x:c r="P98" s="8" t="s">
        <x:v>497</x:v>
      </x:c>
      <x:c r="Q98" s="8"/>
      <x:c r="R98" s="8" t="s">
        <x:v>25</x:v>
      </x:c>
      <x:c r="S98" s="8"/>
      <x:c r="T98" s="8" t="s">
        <x:v>25</x:v>
      </x:c>
      <x:c r="U98" s="8"/>
      <x:c r="V98" s="8"/>
      <x:c r="W98" s="8"/>
      <x:c r="X98" s="8"/>
      <x:c r="Y98" s="8"/>
      <x:c r="Z98" s="8"/>
      <x:c r="AA98" s="8"/>
      <x:c r="AB98" s="8"/>
      <x:c r="AC98" s="8"/>
      <x:c r="AD98" s="8"/>
      <x:c r="AE98" s="11">
        <x:v>28</x:v>
      </x:c>
      <x:c r="AF98" s="8"/>
      <x:c r="AG98" s="8"/>
      <x:c r="AH98" s="8"/>
      <x:c r="AI98" s="8"/>
      <x:c r="AJ98" s="8"/>
      <x:c r="AK98" s="8"/>
      <x:c r="AL98" s="8"/>
      <x:c r="AM98" s="8"/>
      <x:c r="AN98" s="8"/>
      <x:c r="AO98" s="8">
        <x:v>30.4</x:v>
      </x:c>
      <x:c r="AP98" s="8"/>
      <x:c r="AQ98" s="8"/>
      <x:c r="AR98" s="8"/>
      <x:c r="AS98" s="8"/>
      <x:c r="AT98" s="8"/>
      <x:c r="AU98" s="8" t="str">
        <x:v>Not applicable—source is not an NISR publication: MoE.</x:v>
      </x:c>
    </x:row>
    <x:row r="99" ht="14.399999618530273" hidden="1" customHeight="1">
      <x:c r="A99" s="8" t="s">
        <x:v>498</x:v>
      </x:c>
      <x:c r="B99" s="8" t="s">
        <x:v>499</x:v>
      </x:c>
      <x:c r="C99" s="8" t="s">
        <x:v>500</x:v>
      </x:c>
      <x:c r="D99" s="8" t="s">
        <x:v>25</x:v>
      </x:c>
      <x:c r="E99" s="8" t="s">
        <x:v>26</x:v>
      </x:c>
      <x:c r="F99" s="8"/>
      <x:c r="G99" s="8" t="s">
        <x:v>25</x:v>
      </x:c>
      <x:c r="H99" s="8" t="s">
        <x:v>27</x:v>
      </x:c>
      <x:c r="I99" s="8"/>
      <x:c r="J99" s="8"/>
      <x:c r="K99" s="8"/>
      <x:c r="L99" s="8" t="s">
        <x:v>25</x:v>
      </x:c>
      <x:c r="M99" s="8"/>
      <x:c r="N99" s="8" t="s">
        <x:v>25</x:v>
      </x:c>
      <x:c r="O99" s="8" t="s">
        <x:v>501</x:v>
      </x:c>
      <x:c r="P99" s="8" t="s">
        <x:v>502</x:v>
      </x:c>
      <x:c r="Q99" s="8"/>
      <x:c r="R99" s="8" t="s">
        <x:v>25</x:v>
      </x:c>
      <x:c r="S99" s="8"/>
      <x:c r="T99" s="8" t="s">
        <x:v>25</x:v>
      </x:c>
      <x:c r="U99" s="8"/>
      <x:c r="V99" s="8"/>
      <x:c r="W99" s="8"/>
      <x:c r="X99" s="8"/>
      <x:c r="Y99" s="8"/>
      <x:c r="Z99" s="8"/>
      <x:c r="AA99" s="8"/>
      <x:c r="AB99" s="8"/>
      <x:c r="AC99" s="8"/>
      <x:c r="AD99" s="8"/>
      <x:c r="AE99" s="8"/>
      <x:c r="AF99" s="8"/>
      <x:c r="AG99" s="8"/>
      <x:c r="AH99" s="11">
        <x:v>10.130000000000001</x:v>
      </x:c>
      <x:c r="AI99" s="8"/>
      <x:c r="AJ99" s="8"/>
      <x:c r="AK99" s="8"/>
      <x:c r="AL99" s="11">
        <x:v>35</x:v>
      </x:c>
      <x:c r="AM99" s="8"/>
      <x:c r="AN99" s="8"/>
      <x:c r="AO99" s="8"/>
      <x:c r="AP99" s="8"/>
      <x:c r="AQ99" s="11">
        <x:v>53</x:v>
      </x:c>
      <x:c r="AR99" s="8"/>
      <x:c r="AS99" s="8"/>
      <x:c r="AT99" s="8"/>
      <x:c r="AU99" s="8" t="str">
        <x:v>Not applicable—source is not an NISR publication: In land water assessment report.</x:v>
      </x:c>
    </x:row>
    <x:row r="100" ht="14.399999618530273" hidden="1" customHeight="1">
      <x:c r="A100" s="8" t="s">
        <x:v>503</x:v>
      </x:c>
      <x:c r="B100" s="8" t="s">
        <x:v>504</x:v>
      </x:c>
      <x:c r="C100" s="8" t="s">
        <x:v>505</x:v>
      </x:c>
      <x:c r="D100" s="8" t="s">
        <x:v>25</x:v>
      </x:c>
      <x:c r="E100" s="8" t="s">
        <x:v>26</x:v>
      </x:c>
      <x:c r="F100" s="8"/>
      <x:c r="G100" s="8" t="s">
        <x:v>25</x:v>
      </x:c>
      <x:c r="H100" s="8" t="s">
        <x:v>27</x:v>
      </x:c>
      <x:c r="I100" s="8"/>
      <x:c r="J100" s="8"/>
      <x:c r="K100" s="8"/>
      <x:c r="L100" s="8" t="s">
        <x:v>25</x:v>
      </x:c>
      <x:c r="M100" s="8"/>
      <x:c r="N100" s="8" t="s">
        <x:v>25</x:v>
      </x:c>
      <x:c r="O100" s="8" t="s">
        <x:v>506</x:v>
      </x:c>
      <x:c r="P100" s="8" t="s">
        <x:v>507</x:v>
      </x:c>
      <x:c r="Q100" s="8"/>
      <x:c r="R100" s="8" t="s">
        <x:v>25</x:v>
      </x:c>
      <x:c r="S100" s="8"/>
      <x:c r="T100" s="8" t="s">
        <x:v>25</x:v>
      </x:c>
      <x:c r="U100" s="8"/>
      <x:c r="V100" s="8"/>
      <x:c r="W100" s="8"/>
      <x:c r="X100" s="8"/>
      <x:c r="Y100" s="8"/>
      <x:c r="Z100" s="8"/>
      <x:c r="AA100" s="8"/>
      <x:c r="AB100" s="8"/>
      <x:c r="AC100" s="8"/>
      <x:c r="AD100" s="8"/>
      <x:c r="AE100" s="8"/>
      <x:c r="AF100" s="8"/>
      <x:c r="AG100" s="8"/>
      <x:c r="AH100" s="8"/>
      <x:c r="AI100" s="8"/>
      <x:c r="AJ100" s="8"/>
      <x:c r="AK100" s="8"/>
      <x:c r="AL100" s="8">
        <x:v>14.1</x:v>
      </x:c>
      <x:c r="AM100" s="8"/>
      <x:c r="AN100" s="8"/>
      <x:c r="AO100" s="11">
        <x:v>33</x:v>
      </x:c>
      <x:c r="AP100" s="8"/>
      <x:c r="AQ100" s="8"/>
      <x:c r="AR100" s="11">
        <x:v>38.450000000000003</x:v>
      </x:c>
      <x:c r="AS100" s="8"/>
      <x:c r="AT100" s="8"/>
      <x:c r="AU100" s="8" t="str">
        <x:v>Not applicable—source is not an NISR publication: JSR, Environment, 2021/2022.</x:v>
      </x:c>
    </x:row>
    <x:row r="101" ht="14.399999618530273" hidden="1" customHeight="1">
      <x:c r="A101" s="8" t="s">
        <x:v>508</x:v>
      </x:c>
      <x:c r="B101" s="8" t="s">
        <x:v>509</x:v>
      </x:c>
      <x:c r="C101" s="8" t="s">
        <x:v>510</x:v>
      </x:c>
      <x:c r="D101" s="8" t="s">
        <x:v>25</x:v>
      </x:c>
      <x:c r="E101" s="8" t="s">
        <x:v>26</x:v>
      </x:c>
      <x:c r="F101" s="8"/>
      <x:c r="G101" s="8" t="s">
        <x:v>25</x:v>
      </x:c>
      <x:c r="H101" s="8" t="s">
        <x:v>27</x:v>
      </x:c>
      <x:c r="I101" s="8"/>
      <x:c r="J101" s="8"/>
      <x:c r="K101" s="8"/>
      <x:c r="L101" s="8" t="s">
        <x:v>25</x:v>
      </x:c>
      <x:c r="M101" s="8"/>
      <x:c r="N101" s="8" t="s">
        <x:v>25</x:v>
      </x:c>
      <x:c r="O101" s="8" t="s">
        <x:v>511</x:v>
      </x:c>
      <x:c r="P101" s="8" t="s">
        <x:v>512</x:v>
      </x:c>
      <x:c r="Q101" s="8"/>
      <x:c r="R101" s="8" t="s">
        <x:v>25</x:v>
      </x:c>
      <x:c r="S101" s="8"/>
      <x:c r="T101" s="8" t="s">
        <x:v>25</x:v>
      </x:c>
      <x:c r="U101" s="8"/>
      <x:c r="V101" s="8"/>
      <x:c r="W101" s="8"/>
      <x:c r="X101" s="8"/>
      <x:c r="Y101" s="8"/>
      <x:c r="Z101" s="8"/>
      <x:c r="AA101" s="8"/>
      <x:c r="AB101" s="8"/>
      <x:c r="AC101" s="8"/>
      <x:c r="AD101" s="8"/>
      <x:c r="AE101" s="8"/>
      <x:c r="AF101" s="8"/>
      <x:c r="AG101" s="8"/>
      <x:c r="AH101" s="8"/>
      <x:c r="AI101" s="8"/>
      <x:c r="AJ101" s="8"/>
      <x:c r="AK101" s="8"/>
      <x:c r="AL101" s="11">
        <x:v>10.130000000000001</x:v>
      </x:c>
      <x:c r="AM101" s="8"/>
      <x:c r="AN101" s="8">
        <x:v>11.9</x:v>
      </x:c>
      <x:c r="AO101" s="8"/>
      <x:c r="AP101" s="8"/>
      <x:c r="AQ101" s="8"/>
      <x:c r="AR101" s="8"/>
      <x:c r="AS101" s="8"/>
      <x:c r="AT101" s="8"/>
      <x:c r="AU101" s="8" t="str">
        <x:v>Not applicable—source is not an NISR publication: RWFA.</x:v>
      </x:c>
    </x:row>
    <x:row r="102" ht="14.399999618530273" hidden="1" customHeight="1">
      <x:c r="A102" s="8" t="s">
        <x:v>513</x:v>
      </x:c>
      <x:c r="B102" s="8" t="s">
        <x:v>514</x:v>
      </x:c>
      <x:c r="C102" s="8" t="s">
        <x:v>515</x:v>
      </x:c>
      <x:c r="D102" s="8" t="s">
        <x:v>25</x:v>
      </x:c>
      <x:c r="E102" s="8" t="s">
        <x:v>26</x:v>
      </x:c>
      <x:c r="F102" s="8"/>
      <x:c r="G102" s="8" t="s">
        <x:v>25</x:v>
      </x:c>
      <x:c r="H102" s="8" t="s">
        <x:v>27</x:v>
      </x:c>
      <x:c r="I102" s="8"/>
      <x:c r="J102" s="8"/>
      <x:c r="K102" s="8"/>
      <x:c r="L102" s="8" t="s">
        <x:v>25</x:v>
      </x:c>
      <x:c r="M102" s="8"/>
      <x:c r="N102" s="8" t="s">
        <x:v>25</x:v>
      </x:c>
      <x:c r="O102" s="8" t="s">
        <x:v>408</x:v>
      </x:c>
      <x:c r="P102" s="8" t="s">
        <x:v>516</x:v>
      </x:c>
      <x:c r="Q102" s="8"/>
      <x:c r="R102" s="8" t="s">
        <x:v>25</x:v>
      </x:c>
      <x:c r="S102" s="8"/>
      <x:c r="T102" s="8" t="s">
        <x:v>25</x:v>
      </x:c>
      <x:c r="U102" s="8"/>
      <x:c r="V102" s="8"/>
      <x:c r="W102" s="8"/>
      <x:c r="X102" s="8"/>
      <x:c r="Y102" s="8"/>
      <x:c r="Z102" s="8"/>
      <x:c r="AA102" s="8"/>
      <x:c r="AB102" s="8"/>
      <x:c r="AC102" s="8"/>
      <x:c r="AD102" s="8"/>
      <x:c r="AE102" s="8"/>
      <x:c r="AF102" s="8"/>
      <x:c r="AG102" s="8"/>
      <x:c r="AH102" s="8"/>
      <x:c r="AI102" s="8"/>
      <x:c r="AJ102" s="8"/>
      <x:c r="AK102" s="8"/>
      <x:c r="AL102" s="8"/>
      <x:c r="AM102" s="8"/>
      <x:c r="AN102" s="8">
        <x:v>0</x:v>
      </x:c>
      <x:c r="AO102" s="8">
        <x:v>0</x:v>
      </x:c>
      <x:c r="AP102" s="8">
        <x:v>0</x:v>
      </x:c>
      <x:c r="AQ102" s="8">
        <x:v>0</x:v>
      </x:c>
      <x:c r="AR102" s="8">
        <x:v>0</x:v>
      </x:c>
      <x:c r="AS102" s="8"/>
      <x:c r="AT102" s="8"/>
      <x:c r="AU102" s="8" t="str">
        <x:v>Not applicable—source is not an NISR publication: RDB.</x:v>
      </x:c>
    </x:row>
    <x:row r="103" ht="26.399999618530273" hidden="1" customHeight="1">
      <x:c r="A103" s="8" t="s">
        <x:v>517</x:v>
      </x:c>
      <x:c r="B103" s="8" t="s">
        <x:v>518</x:v>
      </x:c>
      <x:c r="C103" s="8" t="s">
        <x:v>519</x:v>
      </x:c>
      <x:c r="D103" s="8" t="s">
        <x:v>25</x:v>
      </x:c>
      <x:c r="E103" s="8" t="s">
        <x:v>59</x:v>
      </x:c>
      <x:c r="F103" s="8"/>
      <x:c r="G103" s="8" t="s">
        <x:v>25</x:v>
      </x:c>
      <x:c r="H103" s="8" t="s">
        <x:v>27</x:v>
      </x:c>
      <x:c r="I103" s="8"/>
      <x:c r="J103" s="8"/>
      <x:c r="K103" s="8"/>
      <x:c r="L103" s="8" t="s">
        <x:v>25</x:v>
      </x:c>
      <x:c r="M103" s="8"/>
      <x:c r="N103" s="8" t="s">
        <x:v>25</x:v>
      </x:c>
      <x:c r="O103" s="8" t="s">
        <x:v>520</x:v>
      </x:c>
      <x:c r="P103" s="8" t="s">
        <x:v>521</x:v>
      </x:c>
      <x:c r="Q103" s="8"/>
      <x:c r="R103" s="8" t="s">
        <x:v>25</x:v>
      </x:c>
      <x:c r="S103" s="8"/>
      <x:c r="T103" s="8" t="s">
        <x:v>25</x:v>
      </x:c>
      <x:c r="U103" s="8"/>
      <x:c r="V103" s="8"/>
      <x:c r="W103" s="8"/>
      <x:c r="X103" s="8"/>
      <x:c r="Y103" s="8"/>
      <x:c r="Z103" s="8"/>
      <x:c r="AA103" s="8"/>
      <x:c r="AB103" s="8"/>
      <x:c r="AC103" s="8"/>
      <x:c r="AD103" s="8"/>
      <x:c r="AE103" s="8"/>
      <x:c r="AF103" s="8"/>
      <x:c r="AG103" s="8"/>
      <x:c r="AH103" s="8"/>
      <x:c r="AI103" s="8"/>
      <x:c r="AJ103" s="8"/>
      <x:c r="AK103" s="8"/>
      <x:c r="AL103" s="8">
        <x:v>3.4</x:v>
      </x:c>
      <x:c r="AM103" s="11">
        <x:v>4</x:v>
      </x:c>
      <x:c r="AN103" s="11">
        <x:v>3.18</x:v>
      </x:c>
      <x:c r="AO103" s="11">
        <x:v>3.26</x:v>
      </x:c>
      <x:c r="AP103" s="11">
        <x:v>3.49</x:v>
      </x:c>
      <x:c r="AQ103" s="11">
        <x:v>3.64</x:v>
      </x:c>
      <x:c r="AR103" s="11">
        <x:v>3</x:v>
      </x:c>
      <x:c r="AS103" s="11">
        <x:v>4</x:v>
      </x:c>
      <x:c r="AT103" s="8"/>
      <x:c r="AU103" s="8" t="str">
        <x:v>Not applicable—source is not an NISR publication: Rwanda Governance Score Card, RGB.</x:v>
      </x:c>
    </x:row>
    <x:row r="104" ht="39.599998474121094" hidden="0" customHeight="1">
      <x:c r="A104" s="8" t="s">
        <x:v>522</x:v>
      </x:c>
      <x:c r="B104" s="8" t="s">
        <x:v>523</x:v>
      </x:c>
      <x:c r="C104" s="8" t="s">
        <x:v>524</x:v>
      </x:c>
      <x:c r="D104" s="8" t="s">
        <x:v>25</x:v>
      </x:c>
      <x:c r="E104" s="8" t="s">
        <x:v>26</x:v>
      </x:c>
      <x:c r="F104" s="8"/>
      <x:c r="G104" s="8" t="s">
        <x:v>25</x:v>
      </x:c>
      <x:c r="H104" s="8" t="s">
        <x:v>27</x:v>
      </x:c>
      <x:c r="I104" s="8"/>
      <x:c r="J104" s="8"/>
      <x:c r="K104" s="8"/>
      <x:c r="L104" s="8" t="s">
        <x:v>25</x:v>
      </x:c>
      <x:c r="M104" s="8"/>
      <x:c r="N104" s="8" t="s">
        <x:v>25</x:v>
      </x:c>
      <x:c r="O104" s="8" t="s">
        <x:v>94</x:v>
      </x:c>
      <x:c r="P104" s="8" t="s">
        <x:v>525</x:v>
      </x:c>
      <x:c r="Q104" s="8"/>
      <x:c r="R104" s="8" t="s">
        <x:v>25</x:v>
      </x:c>
      <x:c r="S104" s="8"/>
      <x:c r="T104" s="8" t="s">
        <x:v>526</x:v>
      </x:c>
      <x:c r="U104" s="8" t="s">
        <x:v>527</x:v>
      </x:c>
      <x:c r="V104" s="8"/>
      <x:c r="W104" s="8"/>
      <x:c r="X104" s="8"/>
      <x:c r="Y104" s="8"/>
      <x:c r="Z104" s="8"/>
      <x:c r="AA104" s="8"/>
      <x:c r="AB104" s="8"/>
      <x:c r="AC104" s="8"/>
      <x:c r="AD104" s="8"/>
      <x:c r="AE104" s="8"/>
      <x:c r="AF104" s="8"/>
      <x:c r="AG104" s="8"/>
      <x:c r="AH104" s="8"/>
      <x:c r="AI104" s="8"/>
      <x:c r="AJ104" s="8"/>
      <x:c r="AK104" s="8">
        <x:v>11</x:v>
      </x:c>
      <x:c r="AL104" s="8"/>
      <x:c r="AM104" s="8"/>
      <x:c r="AN104" s="8"/>
      <x:c r="AO104" s="8"/>
      <x:c r="AP104" s="8">
        <x:v>9</x:v>
      </x:c>
      <x:c r="AQ104" s="8"/>
      <x:c r="AR104" s="8"/>
      <x:c r="AS104" s="8"/>
      <x:c r="AT104" s="8"/>
      <x:c r="AU104" s="8" t="str">
        <x:v>Table 16.9.1 / related tables, Experience of physical violence, Domestic violence chapter, Rwanda DHS 2019–20 Final Report (2021). Needs review: Dashboard combines women and men; confirm weighting and exact violence definition.</x:v>
      </x:c>
    </x:row>
    <x:row r="105" ht="26.399999618530273" hidden="1" customHeight="1">
      <x:c r="A105" s="8" t="s">
        <x:v>528</x:v>
      </x:c>
      <x:c r="B105" s="8" t="s">
        <x:v>529</x:v>
      </x:c>
      <x:c r="C105" s="8" t="s">
        <x:v>530</x:v>
      </x:c>
      <x:c r="D105" s="8" t="s">
        <x:v>25</x:v>
      </x:c>
      <x:c r="E105" s="8" t="s">
        <x:v>26</x:v>
      </x:c>
      <x:c r="F105" s="8"/>
      <x:c r="G105" s="8" t="s">
        <x:v>25</x:v>
      </x:c>
      <x:c r="H105" s="8" t="s">
        <x:v>27</x:v>
      </x:c>
      <x:c r="I105" s="8"/>
      <x:c r="J105" s="8"/>
      <x:c r="K105" s="8"/>
      <x:c r="L105" s="8" t="s">
        <x:v>25</x:v>
      </x:c>
      <x:c r="M105" s="8"/>
      <x:c r="N105" s="8" t="s">
        <x:v>25</x:v>
      </x:c>
      <x:c r="O105" s="8" t="s">
        <x:v>520</x:v>
      </x:c>
      <x:c r="P105" s="8" t="s">
        <x:v>531</x:v>
      </x:c>
      <x:c r="Q105" s="8"/>
      <x:c r="R105" s="8" t="s">
        <x:v>25</x:v>
      </x:c>
      <x:c r="S105" s="8"/>
      <x:c r="T105" s="8" t="s">
        <x:v>25</x:v>
      </x:c>
      <x:c r="U105" s="8"/>
      <x:c r="V105" s="8"/>
      <x:c r="W105" s="8"/>
      <x:c r="X105" s="8"/>
      <x:c r="Y105" s="8"/>
      <x:c r="Z105" s="8"/>
      <x:c r="AA105" s="8"/>
      <x:c r="AB105" s="8"/>
      <x:c r="AC105" s="8"/>
      <x:c r="AD105" s="8"/>
      <x:c r="AE105" s="8"/>
      <x:c r="AF105" s="8"/>
      <x:c r="AG105" s="8"/>
      <x:c r="AH105" s="8"/>
      <x:c r="AI105" s="8"/>
      <x:c r="AJ105" s="8"/>
      <x:c r="AK105" s="8"/>
      <x:c r="AL105" s="11">
        <x:v>79</x:v>
      </x:c>
      <x:c r="AM105" s="11">
        <x:v>87</x:v>
      </x:c>
      <x:c r="AN105" s="11">
        <x:v>88</x:v>
      </x:c>
      <x:c r="AO105" s="8">
        <x:v>87.1</x:v>
      </x:c>
      <x:c r="AP105" s="8">
        <x:v>80.3</x:v>
      </x:c>
      <x:c r="AQ105" s="11">
        <x:v>80</x:v>
      </x:c>
      <x:c r="AR105" s="11">
        <x:v>80</x:v>
      </x:c>
      <x:c r="AS105" s="11">
        <x:v>80</x:v>
      </x:c>
      <x:c r="AT105" s="11">
        <x:v>80</x:v>
      </x:c>
      <x:c r="AU105" s="8" t="str">
        <x:v>Not applicable—source is not an NISR publication: Rwanda Governance Score Card, RGB.</x:v>
      </x:c>
    </x:row>
    <x:row r="106" ht="26.399999618530273" hidden="1" customHeight="1">
      <x:c r="A106" s="8" t="s">
        <x:v>532</x:v>
      </x:c>
      <x:c r="B106" s="8" t="s">
        <x:v>533</x:v>
      </x:c>
      <x:c r="C106" s="8" t="s">
        <x:v>534</x:v>
      </x:c>
      <x:c r="D106" s="8" t="s">
        <x:v>25</x:v>
      </x:c>
      <x:c r="E106" s="8" t="s">
        <x:v>26</x:v>
      </x:c>
      <x:c r="F106" s="8"/>
      <x:c r="G106" s="8" t="s">
        <x:v>25</x:v>
      </x:c>
      <x:c r="H106" s="8" t="s">
        <x:v>27</x:v>
      </x:c>
      <x:c r="I106" s="8"/>
      <x:c r="J106" s="8"/>
      <x:c r="K106" s="8"/>
      <x:c r="L106" s="8" t="s">
        <x:v>25</x:v>
      </x:c>
      <x:c r="M106" s="8"/>
      <x:c r="N106" s="8" t="s">
        <x:v>25</x:v>
      </x:c>
      <x:c r="O106" s="8" t="s">
        <x:v>520</x:v>
      </x:c>
      <x:c r="P106" s="8" t="s">
        <x:v>535</x:v>
      </x:c>
      <x:c r="Q106" s="8"/>
      <x:c r="R106" s="8" t="s">
        <x:v>25</x:v>
      </x:c>
      <x:c r="S106" s="8"/>
      <x:c r="T106" s="8" t="s">
        <x:v>25</x:v>
      </x:c>
      <x:c r="U106" s="8"/>
      <x:c r="V106" s="8"/>
      <x:c r="W106" s="8"/>
      <x:c r="X106" s="8"/>
      <x:c r="Y106" s="8"/>
      <x:c r="Z106" s="8"/>
      <x:c r="AA106" s="8"/>
      <x:c r="AB106" s="8"/>
      <x:c r="AC106" s="8"/>
      <x:c r="AD106" s="8"/>
      <x:c r="AE106" s="8"/>
      <x:c r="AF106" s="8"/>
      <x:c r="AG106" s="8"/>
      <x:c r="AH106" s="8"/>
      <x:c r="AI106" s="8"/>
      <x:c r="AJ106" s="8"/>
      <x:c r="AK106" s="8"/>
      <x:c r="AL106" s="8"/>
      <x:c r="AM106" s="8"/>
      <x:c r="AN106" s="8"/>
      <x:c r="AO106" s="8"/>
      <x:c r="AP106" s="11">
        <x:v>15</x:v>
      </x:c>
      <x:c r="AQ106" s="8">
        <x:v>16.899999999999999</x:v>
      </x:c>
      <x:c r="AR106" s="11">
        <x:v>15</x:v>
      </x:c>
      <x:c r="AS106" s="11">
        <x:v>6</x:v>
      </x:c>
      <x:c r="AT106" s="11">
        <x:v>15</x:v>
      </x:c>
      <x:c r="AU106" s="8" t="str">
        <x:v>Not applicable—source is not an NISR publication: Rwanda Governance Score Card, RGB.</x:v>
      </x:c>
    </x:row>
    <x:row r="107" ht="14.399999618530273" hidden="1" customHeight="1">
      <x:c r="A107" s="8" t="s">
        <x:v>536</x:v>
      </x:c>
      <x:c r="B107" s="8" t="s">
        <x:v>537</x:v>
      </x:c>
      <x:c r="C107" s="8" t="s">
        <x:v>538</x:v>
      </x:c>
      <x:c r="D107" s="8" t="s">
        <x:v>25</x:v>
      </x:c>
      <x:c r="E107" s="8" t="s">
        <x:v>26</x:v>
      </x:c>
      <x:c r="F107" s="8"/>
      <x:c r="G107" s="8" t="s">
        <x:v>25</x:v>
      </x:c>
      <x:c r="H107" s="8" t="s">
        <x:v>27</x:v>
      </x:c>
      <x:c r="I107" s="8"/>
      <x:c r="J107" s="8"/>
      <x:c r="K107" s="8"/>
      <x:c r="L107" s="8" t="s">
        <x:v>25</x:v>
      </x:c>
      <x:c r="M107" s="8"/>
      <x:c r="N107" s="8" t="s">
        <x:v>25</x:v>
      </x:c>
      <x:c r="O107" s="8" t="s">
        <x:v>539</x:v>
      </x:c>
      <x:c r="P107" s="8" t="s">
        <x:v>540</x:v>
      </x:c>
      <x:c r="Q107" s="8"/>
      <x:c r="R107" s="8" t="s">
        <x:v>25</x:v>
      </x:c>
      <x:c r="S107" s="8"/>
      <x:c r="T107" s="8" t="s">
        <x:v>25</x:v>
      </x:c>
      <x:c r="U107" s="8"/>
      <x:c r="V107" s="8"/>
      <x:c r="W107" s="8"/>
      <x:c r="X107" s="8"/>
      <x:c r="Y107" s="8"/>
      <x:c r="Z107" s="8"/>
      <x:c r="AA107" s="8"/>
      <x:c r="AB107" s="8"/>
      <x:c r="AC107" s="8"/>
      <x:c r="AD107" s="8"/>
      <x:c r="AE107" s="8"/>
      <x:c r="AF107" s="8"/>
      <x:c r="AG107" s="8"/>
      <x:c r="AH107" s="8"/>
      <x:c r="AI107" s="8"/>
      <x:c r="AJ107" s="8"/>
      <x:c r="AK107" s="8"/>
      <x:c r="AL107" s="11">
        <x:v>0.47</x:v>
      </x:c>
      <x:c r="AM107" s="11">
        <x:v>0.75</x:v>
      </x:c>
      <x:c r="AN107" s="11">
        <x:v>0.52</x:v>
      </x:c>
      <x:c r="AO107" s="11">
        <x:v>0.72</x:v>
      </x:c>
      <x:c r="AP107" s="11">
        <x:v>0.47</x:v>
      </x:c>
      <x:c r="AQ107" s="8">
        <x:v>0.3</x:v>
      </x:c>
      <x:c r="AR107" s="11">
        <x:v>0.44</x:v>
      </x:c>
      <x:c r="AS107" s="8"/>
      <x:c r="AT107" s="8"/>
      <x:c r="AU107" s="8" t="str">
        <x:v>Not applicable—source is not an NISR publication: MINIJUST.</x:v>
      </x:c>
    </x:row>
    <x:row r="108" ht="26.399999618530273" hidden="1" customHeight="1">
      <x:c r="A108" s="8" t="s">
        <x:v>541</x:v>
      </x:c>
      <x:c r="B108" s="8" t="s">
        <x:v>542</x:v>
      </x:c>
      <x:c r="C108" s="8" t="s">
        <x:v>543</x:v>
      </x:c>
      <x:c r="D108" s="8" t="s">
        <x:v>25</x:v>
      </x:c>
      <x:c r="E108" s="8" t="s">
        <x:v>26</x:v>
      </x:c>
      <x:c r="F108" s="8"/>
      <x:c r="G108" s="8" t="s">
        <x:v>25</x:v>
      </x:c>
      <x:c r="H108" s="8" t="s">
        <x:v>27</x:v>
      </x:c>
      <x:c r="I108" s="8"/>
      <x:c r="J108" s="8"/>
      <x:c r="K108" s="8"/>
      <x:c r="L108" s="8" t="s">
        <x:v>25</x:v>
      </x:c>
      <x:c r="M108" s="8"/>
      <x:c r="N108" s="8" t="s">
        <x:v>25</x:v>
      </x:c>
      <x:c r="O108" s="8" t="s">
        <x:v>520</x:v>
      </x:c>
      <x:c r="P108" s="8" t="s">
        <x:v>542</x:v>
      </x:c>
      <x:c r="Q108" s="8"/>
      <x:c r="R108" s="8" t="s">
        <x:v>25</x:v>
      </x:c>
      <x:c r="S108" s="8"/>
      <x:c r="T108" s="8" t="s">
        <x:v>526</x:v>
      </x:c>
      <x:c r="U108" s="8" t="s">
        <x:v>527</x:v>
      </x:c>
      <x:c r="V108" s="8"/>
      <x:c r="W108" s="8"/>
      <x:c r="X108" s="8"/>
      <x:c r="Y108" s="8"/>
      <x:c r="Z108" s="8"/>
      <x:c r="AA108" s="8"/>
      <x:c r="AB108" s="8"/>
      <x:c r="AC108" s="8"/>
      <x:c r="AD108" s="8"/>
      <x:c r="AE108" s="8"/>
      <x:c r="AF108" s="8"/>
      <x:c r="AG108" s="8"/>
      <x:c r="AH108" s="8"/>
      <x:c r="AI108" s="8"/>
      <x:c r="AJ108" s="8"/>
      <x:c r="AK108" s="8"/>
      <x:c r="AL108" s="8"/>
      <x:c r="AM108" s="8"/>
      <x:c r="AN108" s="8"/>
      <x:c r="AO108" s="8"/>
      <x:c r="AP108" s="8"/>
      <x:c r="AQ108" s="8"/>
      <x:c r="AR108" s="8"/>
      <x:c r="AS108" s="8">
        <x:v>5.3</x:v>
      </x:c>
      <x:c r="AT108" s="8">
        <x:v>5.0999999999999996</x:v>
      </x:c>
      <x:c r="AU108" s="8" t="str">
        <x:v>Not applicable—source is not an NISR publication: Rwanda Governance Score Card, RGB.</x:v>
      </x:c>
    </x:row>
    <x:row r="109" ht="26.399999618530273" hidden="1" customHeight="1">
      <x:c r="A109" s="8" t="s">
        <x:v>544</x:v>
      </x:c>
      <x:c r="B109" s="8" t="s">
        <x:v>545</x:v>
      </x:c>
      <x:c r="C109" s="8" t="s">
        <x:v>546</x:v>
      </x:c>
      <x:c r="D109" s="8" t="s">
        <x:v>25</x:v>
      </x:c>
      <x:c r="E109" s="8" t="s">
        <x:v>26</x:v>
      </x:c>
      <x:c r="F109" s="8"/>
      <x:c r="G109" s="8" t="s">
        <x:v>25</x:v>
      </x:c>
      <x:c r="H109" s="8" t="s">
        <x:v>27</x:v>
      </x:c>
      <x:c r="I109" s="8"/>
      <x:c r="J109" s="8"/>
      <x:c r="K109" s="8"/>
      <x:c r="L109" s="8" t="s">
        <x:v>25</x:v>
      </x:c>
      <x:c r="M109" s="8"/>
      <x:c r="N109" s="8" t="s">
        <x:v>25</x:v>
      </x:c>
      <x:c r="O109" s="8" t="s">
        <x:v>520</x:v>
      </x:c>
      <x:c r="P109" s="8" t="s">
        <x:v>545</x:v>
      </x:c>
      <x:c r="Q109" s="8"/>
      <x:c r="R109" s="8" t="s">
        <x:v>25</x:v>
      </x:c>
      <x:c r="S109" s="8"/>
      <x:c r="T109" s="8" t="s">
        <x:v>25</x:v>
      </x:c>
      <x:c r="U109" s="8"/>
      <x:c r="V109" s="8"/>
      <x:c r="W109" s="8"/>
      <x:c r="X109" s="8"/>
      <x:c r="Y109" s="8"/>
      <x:c r="Z109" s="8"/>
      <x:c r="AA109" s="8"/>
      <x:c r="AB109" s="8"/>
      <x:c r="AC109" s="8"/>
      <x:c r="AD109" s="8"/>
      <x:c r="AE109" s="8"/>
      <x:c r="AF109" s="8"/>
      <x:c r="AG109" s="8"/>
      <x:c r="AH109" s="8"/>
      <x:c r="AI109" s="8"/>
      <x:c r="AJ109" s="8"/>
      <x:c r="AK109" s="8"/>
      <x:c r="AL109" s="8"/>
      <x:c r="AM109" s="8"/>
      <x:c r="AN109" s="8"/>
      <x:c r="AO109" s="8"/>
      <x:c r="AP109" s="8"/>
      <x:c r="AQ109" s="8">
        <x:v>7.5</x:v>
      </x:c>
      <x:c r="AR109" s="8"/>
      <x:c r="AS109" s="8">
        <x:v>7.3</x:v>
      </x:c>
      <x:c r="AT109" s="8">
        <x:v>6.4</x:v>
      </x:c>
      <x:c r="AU109" s="8" t="str">
        <x:v>Not applicable—source is not an NISR publication: Rwanda Governance Score Card, RGB.</x:v>
      </x:c>
    </x:row>
    <x:row r="110" ht="14.399999618530273" hidden="1" customHeight="1">
      <x:c r="A110" s="8" t="s">
        <x:v>547</x:v>
      </x:c>
      <x:c r="B110" s="8" t="s">
        <x:v>548</x:v>
      </x:c>
      <x:c r="C110" s="8" t="s">
        <x:v>549</x:v>
      </x:c>
      <x:c r="D110" s="8" t="s">
        <x:v>25</x:v>
      </x:c>
      <x:c r="E110" s="8" t="s">
        <x:v>26</x:v>
      </x:c>
      <x:c r="F110" s="8"/>
      <x:c r="G110" s="8" t="s">
        <x:v>25</x:v>
      </x:c>
      <x:c r="H110" s="8" t="s">
        <x:v>27</x:v>
      </x:c>
      <x:c r="I110" s="8"/>
      <x:c r="J110" s="8"/>
      <x:c r="K110" s="8"/>
      <x:c r="L110" s="8" t="s">
        <x:v>25</x:v>
      </x:c>
      <x:c r="M110" s="8"/>
      <x:c r="N110" s="8" t="s">
        <x:v>25</x:v>
      </x:c>
      <x:c r="O110" s="8" t="s">
        <x:v>550</x:v>
      </x:c>
      <x:c r="P110" s="8" t="s">
        <x:v>551</x:v>
      </x:c>
      <x:c r="Q110" s="8"/>
      <x:c r="R110" s="8" t="s">
        <x:v>25</x:v>
      </x:c>
      <x:c r="S110" s="8"/>
      <x:c r="T110" s="8" t="s">
        <x:v>25</x:v>
      </x:c>
      <x:c r="U110" s="8"/>
      <x:c r="V110" s="8"/>
      <x:c r="W110" s="8"/>
      <x:c r="X110" s="8"/>
      <x:c r="Y110" s="8"/>
      <x:c r="Z110" s="8"/>
      <x:c r="AA110" s="8"/>
      <x:c r="AB110" s="8"/>
      <x:c r="AC110" s="8"/>
      <x:c r="AD110" s="8"/>
      <x:c r="AE110" s="8"/>
      <x:c r="AF110" s="8"/>
      <x:c r="AG110" s="8"/>
      <x:c r="AH110" s="8"/>
      <x:c r="AI110" s="8"/>
      <x:c r="AJ110" s="8"/>
      <x:c r="AK110" s="11">
        <x:v>5</x:v>
      </x:c>
      <x:c r="AL110" s="11">
        <x:v>5</x:v>
      </x:c>
      <x:c r="AM110" s="11">
        <x:v>6</x:v>
      </x:c>
      <x:c r="AN110" s="11">
        <x:v>6</x:v>
      </x:c>
      <x:c r="AO110" s="11">
        <x:v>9</x:v>
      </x:c>
      <x:c r="AP110" s="11">
        <x:v>14</x:v>
      </x:c>
      <x:c r="AQ110" s="8">
        <x:v>10.9</x:v>
      </x:c>
      <x:c r="AR110" s="8">
        <x:v>13.6</x:v>
      </x:c>
      <x:c r="AS110" s="8"/>
      <x:c r="AT110" s="8"/>
      <x:c r="AU110" s="8" t="str">
        <x:v>Not applicable—source is not an NISR publication: MINIJUST, JRLOS.</x:v>
      </x:c>
    </x:row>
    <x:row r="111" ht="26.399999618530273" hidden="1" customHeight="1">
      <x:c r="A111" s="8" t="s">
        <x:v>552</x:v>
      </x:c>
      <x:c r="B111" s="8" t="s">
        <x:v>553</x:v>
      </x:c>
      <x:c r="C111" s="8" t="s">
        <x:v>554</x:v>
      </x:c>
      <x:c r="D111" s="8" t="s">
        <x:v>25</x:v>
      </x:c>
      <x:c r="E111" s="8" t="s">
        <x:v>26</x:v>
      </x:c>
      <x:c r="F111" s="8"/>
      <x:c r="G111" s="8" t="s">
        <x:v>25</x:v>
      </x:c>
      <x:c r="H111" s="8" t="s">
        <x:v>27</x:v>
      </x:c>
      <x:c r="I111" s="8"/>
      <x:c r="J111" s="8"/>
      <x:c r="K111" s="8"/>
      <x:c r="L111" s="8" t="s">
        <x:v>25</x:v>
      </x:c>
      <x:c r="M111" s="8"/>
      <x:c r="N111" s="8" t="s">
        <x:v>25</x:v>
      </x:c>
      <x:c r="O111" s="8" t="s">
        <x:v>520</x:v>
      </x:c>
      <x:c r="P111" s="8" t="s">
        <x:v>555</x:v>
      </x:c>
      <x:c r="Q111" s="8"/>
      <x:c r="R111" s="8" t="s">
        <x:v>25</x:v>
      </x:c>
      <x:c r="S111" s="8"/>
      <x:c r="T111" s="8" t="s">
        <x:v>25</x:v>
      </x:c>
      <x:c r="U111" s="8"/>
      <x:c r="V111" s="8"/>
      <x:c r="W111" s="8"/>
      <x:c r="X111" s="8"/>
      <x:c r="Y111" s="8"/>
      <x:c r="Z111" s="8"/>
      <x:c r="AA111" s="8"/>
      <x:c r="AB111" s="8"/>
      <x:c r="AC111" s="8"/>
      <x:c r="AD111" s="8"/>
      <x:c r="AE111" s="8"/>
      <x:c r="AF111" s="8"/>
      <x:c r="AG111" s="8"/>
      <x:c r="AH111" s="8"/>
      <x:c r="AI111" s="8"/>
      <x:c r="AJ111" s="8"/>
      <x:c r="AK111" s="8">
        <x:v>17.5</x:v>
      </x:c>
      <x:c r="AL111" s="8">
        <x:v>24.4</x:v>
      </x:c>
      <x:c r="AM111" s="8">
        <x:v>23.9</x:v>
      </x:c>
      <x:c r="AN111" s="8">
        <x:v>20.399999999999999</x:v>
      </x:c>
      <x:c r="AO111" s="8">
        <x:v>18.5</x:v>
      </x:c>
      <x:c r="AP111" s="8">
        <x:v>19.2</x:v>
      </x:c>
      <x:c r="AQ111" s="8">
        <x:v>22.9</x:v>
      </x:c>
      <x:c r="AR111" s="8">
        <x:v>29.1</x:v>
      </x:c>
      <x:c r="AS111" s="8">
        <x:v>23.5</x:v>
      </x:c>
      <x:c r="AT111" s="8">
        <x:v>13.2</x:v>
      </x:c>
      <x:c r="AU111" s="8" t="str">
        <x:v>Not applicable—source is not an NISR publication: Rwanda Governance Score Card, RGB.</x:v>
      </x:c>
    </x:row>
    <x:row r="112" ht="26.399999618530273" hidden="1" customHeight="1">
      <x:c r="A112" s="8" t="s">
        <x:v>556</x:v>
      </x:c>
      <x:c r="B112" s="8" t="s">
        <x:v>557</x:v>
      </x:c>
      <x:c r="C112" s="8" t="s">
        <x:v>558</x:v>
      </x:c>
      <x:c r="D112" s="8" t="s">
        <x:v>25</x:v>
      </x:c>
      <x:c r="E112" s="8" t="s">
        <x:v>26</x:v>
      </x:c>
      <x:c r="F112" s="8"/>
      <x:c r="G112" s="8" t="s">
        <x:v>25</x:v>
      </x:c>
      <x:c r="H112" s="8" t="s">
        <x:v>27</x:v>
      </x:c>
      <x:c r="I112" s="8"/>
      <x:c r="J112" s="8"/>
      <x:c r="K112" s="8"/>
      <x:c r="L112" s="8" t="s">
        <x:v>25</x:v>
      </x:c>
      <x:c r="M112" s="8"/>
      <x:c r="N112" s="8" t="s">
        <x:v>25</x:v>
      </x:c>
      <x:c r="O112" s="8" t="s">
        <x:v>520</x:v>
      </x:c>
      <x:c r="P112" s="8" t="s">
        <x:v>559</x:v>
      </x:c>
      <x:c r="Q112" s="8"/>
      <x:c r="R112" s="8" t="s">
        <x:v>25</x:v>
      </x:c>
      <x:c r="S112" s="8"/>
      <x:c r="T112" s="8" t="s">
        <x:v>25</x:v>
      </x:c>
      <x:c r="U112" s="8"/>
      <x:c r="V112" s="8"/>
      <x:c r="W112" s="8"/>
      <x:c r="X112" s="8"/>
      <x:c r="Y112" s="8"/>
      <x:c r="Z112" s="8"/>
      <x:c r="AA112" s="8"/>
      <x:c r="AB112" s="8"/>
      <x:c r="AC112" s="8"/>
      <x:c r="AD112" s="8"/>
      <x:c r="AE112" s="8"/>
      <x:c r="AF112" s="8"/>
      <x:c r="AG112" s="8"/>
      <x:c r="AH112" s="8"/>
      <x:c r="AI112" s="8"/>
      <x:c r="AJ112" s="8"/>
      <x:c r="AK112" s="8"/>
      <x:c r="AL112" s="8"/>
      <x:c r="AM112" s="8"/>
      <x:c r="AN112" s="8"/>
      <x:c r="AO112" s="8"/>
      <x:c r="AP112" s="8">
        <x:v>12.2</x:v>
      </x:c>
      <x:c r="AQ112" s="8">
        <x:v>8.1999999999999993</x:v>
      </x:c>
      <x:c r="AR112" s="8">
        <x:v>12.8</x:v>
      </x:c>
      <x:c r="AS112" s="8">
        <x:v>12.8</x:v>
      </x:c>
      <x:c r="AT112" s="8">
        <x:v>12.8</x:v>
      </x:c>
      <x:c r="AU112" s="8" t="str">
        <x:v>Not applicable—source is not an NISR publication: Rwanda Governance Score Card, RGB.</x:v>
      </x:c>
    </x:row>
    <x:row r="113" ht="14.399999618530273" hidden="1" customHeight="1">
      <x:c r="A113" s="8" t="s">
        <x:v>560</x:v>
      </x:c>
      <x:c r="B113" s="8" t="s">
        <x:v>561</x:v>
      </x:c>
      <x:c r="C113" s="8" t="s">
        <x:v>562</x:v>
      </x:c>
      <x:c r="D113" s="8" t="s">
        <x:v>25</x:v>
      </x:c>
      <x:c r="E113" s="8" t="s">
        <x:v>26</x:v>
      </x:c>
      <x:c r="F113" s="8"/>
      <x:c r="G113" s="8" t="s">
        <x:v>25</x:v>
      </x:c>
      <x:c r="H113" s="8" t="s">
        <x:v>27</x:v>
      </x:c>
      <x:c r="I113" s="8"/>
      <x:c r="J113" s="8"/>
      <x:c r="K113" s="8"/>
      <x:c r="L113" s="8" t="s">
        <x:v>25</x:v>
      </x:c>
      <x:c r="M113" s="8"/>
      <x:c r="N113" s="8" t="s">
        <x:v>25</x:v>
      </x:c>
      <x:c r="O113" s="8" t="s">
        <x:v>563</x:v>
      </x:c>
      <x:c r="P113" s="8" t="s">
        <x:v>564</x:v>
      </x:c>
      <x:c r="Q113" s="8"/>
      <x:c r="R113" s="8" t="s">
        <x:v>25</x:v>
      </x:c>
      <x:c r="S113" s="8"/>
      <x:c r="T113" s="8" t="s">
        <x:v>25</x:v>
      </x:c>
      <x:c r="U113" s="8"/>
      <x:c r="V113" s="8"/>
      <x:c r="W113" s="8"/>
      <x:c r="X113" s="8"/>
      <x:c r="Y113" s="8"/>
      <x:c r="Z113" s="8"/>
      <x:c r="AA113" s="8"/>
      <x:c r="AB113" s="8"/>
      <x:c r="AC113" s="8"/>
      <x:c r="AD113" s="8"/>
      <x:c r="AE113" s="8"/>
      <x:c r="AF113" s="8"/>
      <x:c r="AG113" s="8"/>
      <x:c r="AH113" s="8"/>
      <x:c r="AI113" s="8"/>
      <x:c r="AJ113" s="8"/>
      <x:c r="AK113" s="8"/>
      <x:c r="AL113" s="8"/>
      <x:c r="AM113" s="8">
        <x:v>47.2</x:v>
      </x:c>
      <x:c r="AN113" s="8"/>
      <x:c r="AO113" s="11">
        <x:v>49</x:v>
      </x:c>
      <x:c r="AP113" s="11">
        <x:v>50</x:v>
      </x:c>
      <x:c r="AQ113" s="8"/>
      <x:c r="AR113" s="8"/>
      <x:c r="AS113" s="8"/>
      <x:c r="AT113" s="8"/>
      <x:c r="AU113" s="8" t="str">
        <x:v>Not applicable—source is not an NISR publication: MINECOFIN, Budget Finance Law.</x:v>
      </x:c>
    </x:row>
    <x:row r="114" ht="26.399999618530273" hidden="1" customHeight="1">
      <x:c r="A114" s="8" t="s">
        <x:v>565</x:v>
      </x:c>
      <x:c r="B114" s="8" t="s">
        <x:v>566</x:v>
      </x:c>
      <x:c r="C114" s="8" t="s">
        <x:v>567</x:v>
      </x:c>
      <x:c r="D114" s="8" t="s">
        <x:v>25</x:v>
      </x:c>
      <x:c r="E114" s="8" t="s">
        <x:v>26</x:v>
      </x:c>
      <x:c r="F114" s="8"/>
      <x:c r="G114" s="8" t="s">
        <x:v>25</x:v>
      </x:c>
      <x:c r="H114" s="8" t="s">
        <x:v>27</x:v>
      </x:c>
      <x:c r="I114" s="8"/>
      <x:c r="J114" s="8"/>
      <x:c r="K114" s="8"/>
      <x:c r="L114" s="8" t="s">
        <x:v>25</x:v>
      </x:c>
      <x:c r="M114" s="8"/>
      <x:c r="N114" s="8" t="s">
        <x:v>25</x:v>
      </x:c>
      <x:c r="O114" s="8" t="s">
        <x:v>520</x:v>
      </x:c>
      <x:c r="P114" s="8" t="s">
        <x:v>568</x:v>
      </x:c>
      <x:c r="Q114" s="8"/>
      <x:c r="R114" s="8" t="s">
        <x:v>25</x:v>
      </x:c>
      <x:c r="S114" s="8"/>
      <x:c r="T114" s="8" t="s">
        <x:v>25</x:v>
      </x:c>
      <x:c r="U114" s="8"/>
      <x:c r="V114" s="8"/>
      <x:c r="W114" s="8"/>
      <x:c r="X114" s="8"/>
      <x:c r="Y114" s="8"/>
      <x:c r="Z114" s="8"/>
      <x:c r="AA114" s="8"/>
      <x:c r="AB114" s="8"/>
      <x:c r="AC114" s="8"/>
      <x:c r="AD114" s="8"/>
      <x:c r="AE114" s="8"/>
      <x:c r="AF114" s="8"/>
      <x:c r="AG114" s="8"/>
      <x:c r="AH114" s="8"/>
      <x:c r="AI114" s="8"/>
      <x:c r="AJ114" s="8">
        <x:v>66.2</x:v>
      </x:c>
      <x:c r="AK114" s="8">
        <x:v>70.400000000000006</x:v>
      </x:c>
      <x:c r="AL114" s="8">
        <x:v>72.900000000000006</x:v>
      </x:c>
      <x:c r="AM114" s="11">
        <x:v>74.25</x:v>
      </x:c>
      <x:c r="AN114" s="11">
        <x:v>70.540000000000006</x:v>
      </x:c>
      <x:c r="AO114" s="8">
        <x:v>78.3</x:v>
      </x:c>
      <x:c r="AP114" s="11">
        <x:v>81.86</x:v>
      </x:c>
      <x:c r="AQ114" s="11">
        <x:v>77.69</x:v>
      </x:c>
      <x:c r="AR114" s="11">
        <x:v>78.28</x:v>
      </x:c>
      <x:c r="AS114" s="11">
        <x:v>75</x:v>
      </x:c>
      <x:c r="AT114" s="8">
        <x:v>76.099999999999994</x:v>
      </x:c>
      <x:c r="AU114" s="8" t="str">
        <x:v>Not applicable—source is not an NISR publication: Rwanda Governance Score Card, RGB.</x:v>
      </x:c>
    </x:row>
    <x:row r="115" ht="26.399999618530273" hidden="1" customHeight="1">
      <x:c r="A115" s="8" t="s">
        <x:v>569</x:v>
      </x:c>
      <x:c r="B115" s="8" t="s">
        <x:v>570</x:v>
      </x:c>
      <x:c r="C115" s="8" t="s">
        <x:v>571</x:v>
      </x:c>
      <x:c r="D115" s="8" t="s">
        <x:v>25</x:v>
      </x:c>
      <x:c r="E115" s="8" t="s">
        <x:v>26</x:v>
      </x:c>
      <x:c r="F115" s="8"/>
      <x:c r="G115" s="8" t="s">
        <x:v>25</x:v>
      </x:c>
      <x:c r="H115" s="8" t="s">
        <x:v>27</x:v>
      </x:c>
      <x:c r="I115" s="8"/>
      <x:c r="J115" s="8"/>
      <x:c r="K115" s="8"/>
      <x:c r="L115" s="8" t="s">
        <x:v>25</x:v>
      </x:c>
      <x:c r="M115" s="8"/>
      <x:c r="N115" s="8" t="s">
        <x:v>25</x:v>
      </x:c>
      <x:c r="O115" s="8" t="s">
        <x:v>520</x:v>
      </x:c>
      <x:c r="P115" s="8" t="s">
        <x:v>572</x:v>
      </x:c>
      <x:c r="Q115" s="8"/>
      <x:c r="R115" s="8" t="s">
        <x:v>25</x:v>
      </x:c>
      <x:c r="S115" s="8"/>
      <x:c r="T115" s="8" t="s">
        <x:v>25</x:v>
      </x:c>
      <x:c r="U115" s="8"/>
      <x:c r="V115" s="8"/>
      <x:c r="W115" s="8"/>
      <x:c r="X115" s="8"/>
      <x:c r="Y115" s="8"/>
      <x:c r="Z115" s="8"/>
      <x:c r="AA115" s="8"/>
      <x:c r="AB115" s="8"/>
      <x:c r="AC115" s="8"/>
      <x:c r="AD115" s="8"/>
      <x:c r="AE115" s="8"/>
      <x:c r="AF115" s="8"/>
      <x:c r="AG115" s="8"/>
      <x:c r="AH115" s="8"/>
      <x:c r="AI115" s="11">
        <x:v>74.23</x:v>
      </x:c>
      <x:c r="AJ115" s="11">
        <x:v>75.260000000000005</x:v>
      </x:c>
      <x:c r="AK115" s="11">
        <x:v>75.36</x:v>
      </x:c>
      <x:c r="AL115" s="11">
        <x:v>77.010000000000005</x:v>
      </x:c>
      <x:c r="AM115" s="11">
        <x:v>76.790000000000006</x:v>
      </x:c>
      <x:c r="AN115" s="11">
        <x:v>73</x:v>
      </x:c>
      <x:c r="AO115" s="11">
        <x:v>81.96</x:v>
      </x:c>
      <x:c r="AP115" s="11">
        <x:v>84.19</x:v>
      </x:c>
      <x:c r="AQ115" s="11">
        <x:v>87.07</x:v>
      </x:c>
      <x:c r="AR115" s="8"/>
      <x:c r="AS115" s="11">
        <x:v>84</x:v>
      </x:c>
      <x:c r="AT115" s="8">
        <x:v>88.4</x:v>
      </x:c>
      <x:c r="AU115" s="8" t="str">
        <x:v>Not applicable—source is not an NISR publication: Rwanda Governance Score Card, RGB.</x:v>
      </x:c>
    </x:row>
    <x:row r="116" ht="26.399999618530273" hidden="1" customHeight="1">
      <x:c r="A116" s="8" t="s">
        <x:v>573</x:v>
      </x:c>
      <x:c r="B116" s="8" t="s">
        <x:v>574</x:v>
      </x:c>
      <x:c r="C116" s="8" t="s">
        <x:v>575</x:v>
      </x:c>
      <x:c r="D116" s="8" t="s">
        <x:v>25</x:v>
      </x:c>
      <x:c r="E116" s="8" t="s">
        <x:v>26</x:v>
      </x:c>
      <x:c r="F116" s="8"/>
      <x:c r="G116" s="8" t="s">
        <x:v>25</x:v>
      </x:c>
      <x:c r="H116" s="8" t="s">
        <x:v>27</x:v>
      </x:c>
      <x:c r="I116" s="8"/>
      <x:c r="J116" s="8"/>
      <x:c r="K116" s="8"/>
      <x:c r="L116" s="8" t="s">
        <x:v>25</x:v>
      </x:c>
      <x:c r="M116" s="8"/>
      <x:c r="N116" s="8" t="s">
        <x:v>25</x:v>
      </x:c>
      <x:c r="O116" s="8" t="s">
        <x:v>576</x:v>
      </x:c>
      <x:c r="P116" s="8" t="s">
        <x:v>577</x:v>
      </x:c>
      <x:c r="Q116" s="8"/>
      <x:c r="R116" s="8" t="s">
        <x:v>100</x:v>
      </x:c>
      <x:c r="S116" s="8" t="s">
        <x:v>101</x:v>
      </x:c>
      <x:c r="T116" s="8" t="s">
        <x:v>25</x:v>
      </x:c>
      <x:c r="U116" s="8"/>
      <x:c r="V116" s="8"/>
      <x:c r="W116" s="8"/>
      <x:c r="X116" s="8"/>
      <x:c r="Y116" s="8"/>
      <x:c r="Z116" s="8"/>
      <x:c r="AA116" s="8"/>
      <x:c r="AB116" s="8"/>
      <x:c r="AC116" s="8"/>
      <x:c r="AD116" s="8"/>
      <x:c r="AE116" s="8"/>
      <x:c r="AF116" s="8"/>
      <x:c r="AG116" s="8"/>
      <x:c r="AH116" s="8"/>
      <x:c r="AI116" s="8"/>
      <x:c r="AJ116" s="8"/>
      <x:c r="AK116" s="11">
        <x:v>56</x:v>
      </x:c>
      <x:c r="AL116" s="8"/>
      <x:c r="AM116" s="8"/>
      <x:c r="AN116" s="8"/>
      <x:c r="AO116" s="8"/>
      <x:c r="AP116" s="8">
        <x:v>85.6</x:v>
      </x:c>
      <x:c r="AQ116" s="8"/>
      <x:c r="AR116" s="8">
        <x:v>94.3</x:v>
      </x:c>
      <x:c r="AS116" s="8"/>
      <x:c r="AT116" s="8"/>
      <x:c r="AU116" s="8" t="str">
        <x:v>NISR-related source stated as “RDHS, 2014/15 and 2019/20, Census 2022”; exact report/table/page not verified. Needs review—no reference has been invented.</x:v>
      </x:c>
    </x:row>
    <x:row r="117" ht="39.599998474121094" hidden="0" customHeight="1">
      <x:c r="A117" s="8" t="s">
        <x:v>578</x:v>
      </x:c>
      <x:c r="B117" s="13" t="s">
        <x:v>459</x:v>
      </x:c>
      <x:c r="C117" s="8" t="s">
        <x:v>579</x:v>
      </x:c>
      <x:c r="D117" s="8" t="s">
        <x:v>25</x:v>
      </x:c>
      <x:c r="E117" s="8" t="s">
        <x:v>26</x:v>
      </x:c>
      <x:c r="F117" s="8"/>
      <x:c r="G117" s="8" t="s">
        <x:v>25</x:v>
      </x:c>
      <x:c r="H117" s="8" t="s">
        <x:v>27</x:v>
      </x:c>
      <x:c r="I117" s="8"/>
      <x:c r="J117" s="8"/>
      <x:c r="K117" s="8"/>
      <x:c r="L117" s="8" t="s">
        <x:v>25</x:v>
      </x:c>
      <x:c r="M117" s="8"/>
      <x:c r="N117" s="8" t="s">
        <x:v>25</x:v>
      </x:c>
      <x:c r="O117" s="8" t="s">
        <x:v>278</x:v>
      </x:c>
      <x:c r="P117" s="8" t="s">
        <x:v>461</x:v>
      </x:c>
      <x:c r="Q117" s="8"/>
      <x:c r="R117" s="8" t="s">
        <x:v>25</x:v>
      </x:c>
      <x:c r="S117" s="8"/>
      <x:c r="T117" s="8" t="s">
        <x:v>25</x:v>
      </x:c>
      <x:c r="U117" s="8"/>
      <x:c r="V117" s="8"/>
      <x:c r="W117" s="8"/>
      <x:c r="X117" s="8"/>
      <x:c r="Y117" s="8"/>
      <x:c r="Z117" s="8"/>
      <x:c r="AA117" s="8"/>
      <x:c r="AB117" s="8"/>
      <x:c r="AC117" s="8"/>
      <x:c r="AD117" s="8"/>
      <x:c r="AE117" s="8"/>
      <x:c r="AF117" s="8"/>
      <x:c r="AG117" s="8"/>
      <x:c r="AH117" s="8"/>
      <x:c r="AI117" s="8"/>
      <x:c r="AJ117" s="8"/>
      <x:c r="AK117" s="8"/>
      <x:c r="AL117" s="8"/>
      <x:c r="AM117" s="8"/>
      <x:c r="AN117" s="8"/>
      <x:c r="AO117" s="8">
        <x:v>0.3</x:v>
      </x:c>
      <x:c r="AP117" s="8"/>
      <x:c r="AQ117" s="8">
        <x:v>0.1</x:v>
      </x:c>
      <x:c r="AR117" s="8">
        <x:v>0.1</x:v>
      </x:c>
      <x:c r="AS117" s="8">
        <x:v>0.2</x:v>
      </x:c>
      <x:c r="AT117" s="8"/>
      <x:c r="AU117" s="8" t="str">
        <x:v>Reason for stopping last employment, Reason for stopping last employment, Labour Force Survey annual/microdata output (2024). Needs review: Same proxy issue as MAP-034; it does not directly measure SDG 16.b.1 discrimination.</x:v>
      </x:c>
    </x:row>
    <x:row r="118" ht="14.399999618530273" hidden="1" customHeight="1">
      <x:c r="A118" s="8" t="s">
        <x:v>580</x:v>
      </x:c>
      <x:c r="B118" s="8" t="s">
        <x:v>581</x:v>
      </x:c>
      <x:c r="C118" s="8" t="s">
        <x:v>582</x:v>
      </x:c>
      <x:c r="D118" s="8" t="s">
        <x:v>25</x:v>
      </x:c>
      <x:c r="E118" s="8" t="s">
        <x:v>26</x:v>
      </x:c>
      <x:c r="F118" s="8"/>
      <x:c r="G118" s="8" t="s">
        <x:v>25</x:v>
      </x:c>
      <x:c r="H118" s="8" t="s">
        <x:v>27</x:v>
      </x:c>
      <x:c r="I118" s="8"/>
      <x:c r="J118" s="8"/>
      <x:c r="K118" s="8"/>
      <x:c r="L118" s="8" t="s">
        <x:v>25</x:v>
      </x:c>
      <x:c r="M118" s="8"/>
      <x:c r="N118" s="8" t="s">
        <x:v>25</x:v>
      </x:c>
      <x:c r="O118" s="8" t="s">
        <x:v>583</x:v>
      </x:c>
      <x:c r="P118" s="8" t="s">
        <x:v>584</x:v>
      </x:c>
      <x:c r="Q118" s="8"/>
      <x:c r="R118" s="8" t="s">
        <x:v>25</x:v>
      </x:c>
      <x:c r="S118" s="8"/>
      <x:c r="T118" s="8" t="s">
        <x:v>25</x:v>
      </x:c>
      <x:c r="U118" s="8"/>
      <x:c r="V118" s="8"/>
      <x:c r="W118" s="8"/>
      <x:c r="X118" s="8"/>
      <x:c r="Y118" s="8"/>
      <x:c r="Z118" s="8"/>
      <x:c r="AA118" s="8"/>
      <x:c r="AB118" s="8"/>
      <x:c r="AC118" s="8"/>
      <x:c r="AD118" s="8"/>
      <x:c r="AE118" s="8"/>
      <x:c r="AF118" s="8"/>
      <x:c r="AG118" s="8"/>
      <x:c r="AH118" s="8"/>
      <x:c r="AI118" s="8"/>
      <x:c r="AJ118" s="8"/>
      <x:c r="AK118" s="8">
        <x:v>24.3</x:v>
      </x:c>
      <x:c r="AL118" s="11">
        <x:v>23.48</x:v>
      </x:c>
      <x:c r="AM118" s="11">
        <x:v>22.33</x:v>
      </x:c>
      <x:c r="AN118" s="8">
        <x:v>23.3</x:v>
      </x:c>
      <x:c r="AO118" s="8">
        <x:v>23.7</x:v>
      </x:c>
      <x:c r="AP118" s="8">
        <x:v>23.5</x:v>
      </x:c>
      <x:c r="AQ118" s="11">
        <x:v>25</x:v>
      </x:c>
      <x:c r="AR118" s="11">
        <x:v>26</x:v>
      </x:c>
      <x:c r="AS118" s="8"/>
      <x:c r="AT118" s="8"/>
      <x:c r="AU118" s="8" t="str">
        <x:v>Not applicable—source is not an NISR publication: MINECOFIN.</x:v>
      </x:c>
    </x:row>
    <x:row r="119" ht="14.399999618530273" hidden="1" customHeight="1">
      <x:c r="A119" s="8" t="s">
        <x:v>585</x:v>
      </x:c>
      <x:c r="B119" s="8" t="s">
        <x:v>586</x:v>
      </x:c>
      <x:c r="C119" s="8" t="s">
        <x:v>587</x:v>
      </x:c>
      <x:c r="D119" s="8" t="s">
        <x:v>25</x:v>
      </x:c>
      <x:c r="E119" s="8" t="s">
        <x:v>26</x:v>
      </x:c>
      <x:c r="F119" s="8"/>
      <x:c r="G119" s="8" t="s">
        <x:v>25</x:v>
      </x:c>
      <x:c r="H119" s="8" t="s">
        <x:v>27</x:v>
      </x:c>
      <x:c r="I119" s="8"/>
      <x:c r="J119" s="8"/>
      <x:c r="K119" s="8"/>
      <x:c r="L119" s="8" t="s">
        <x:v>25</x:v>
      </x:c>
      <x:c r="M119" s="8"/>
      <x:c r="N119" s="8" t="s">
        <x:v>25</x:v>
      </x:c>
      <x:c r="O119" s="8" t="s">
        <x:v>583</x:v>
      </x:c>
      <x:c r="P119" s="8" t="s">
        <x:v>586</x:v>
      </x:c>
      <x:c r="Q119" s="8"/>
      <x:c r="R119" s="8" t="s">
        <x:v>25</x:v>
      </x:c>
      <x:c r="S119" s="8"/>
      <x:c r="T119" s="8" t="s">
        <x:v>25</x:v>
      </x:c>
      <x:c r="U119" s="8"/>
      <x:c r="V119" s="8"/>
      <x:c r="W119" s="8"/>
      <x:c r="X119" s="8"/>
      <x:c r="Y119" s="8"/>
      <x:c r="Z119" s="8"/>
      <x:c r="AA119" s="8"/>
      <x:c r="AB119" s="8"/>
      <x:c r="AC119" s="8"/>
      <x:c r="AD119" s="8"/>
      <x:c r="AE119" s="8"/>
      <x:c r="AF119" s="8"/>
      <x:c r="AG119" s="8"/>
      <x:c r="AH119" s="8"/>
      <x:c r="AI119" s="8"/>
      <x:c r="AJ119" s="8"/>
      <x:c r="AK119" s="8"/>
      <x:c r="AL119" s="8">
        <x:v>62.4</x:v>
      </x:c>
      <x:c r="AM119" s="11">
        <x:v>66</x:v>
      </x:c>
      <x:c r="AN119" s="11">
        <x:v>66</x:v>
      </x:c>
      <x:c r="AO119" s="11">
        <x:v>67</x:v>
      </x:c>
      <x:c r="AP119" s="8">
        <x:v>68.3</x:v>
      </x:c>
      <x:c r="AQ119" s="8">
        <x:v>60.5</x:v>
      </x:c>
      <x:c r="AR119" s="11">
        <x:v>67</x:v>
      </x:c>
      <x:c r="AS119" s="8"/>
      <x:c r="AT119" s="8"/>
      <x:c r="AU119" s="8" t="str">
        <x:v>Not applicable—source is not an NISR publication: MINECOFIN.</x:v>
      </x:c>
    </x:row>
    <x:row r="120" ht="14.399999618530273" hidden="1" customHeight="1">
      <x:c r="A120" s="8" t="s">
        <x:v>588</x:v>
      </x:c>
      <x:c r="B120" s="8" t="s">
        <x:v>589</x:v>
      </x:c>
      <x:c r="C120" s="8" t="s">
        <x:v>590</x:v>
      </x:c>
      <x:c r="D120" s="8" t="s">
        <x:v>25</x:v>
      </x:c>
      <x:c r="E120" s="8" t="s">
        <x:v>26</x:v>
      </x:c>
      <x:c r="F120" s="8"/>
      <x:c r="G120" s="8" t="s">
        <x:v>25</x:v>
      </x:c>
      <x:c r="H120" s="8" t="s">
        <x:v>27</x:v>
      </x:c>
      <x:c r="I120" s="8"/>
      <x:c r="J120" s="8"/>
      <x:c r="K120" s="8"/>
      <x:c r="L120" s="8" t="s">
        <x:v>25</x:v>
      </x:c>
      <x:c r="M120" s="8"/>
      <x:c r="N120" s="8" t="s">
        <x:v>25</x:v>
      </x:c>
      <x:c r="O120" s="8" t="s">
        <x:v>583</x:v>
      </x:c>
      <x:c r="P120" s="8" t="s">
        <x:v>591</x:v>
      </x:c>
      <x:c r="Q120" s="8"/>
      <x:c r="R120" s="8" t="s">
        <x:v>25</x:v>
      </x:c>
      <x:c r="S120" s="8"/>
      <x:c r="T120" s="8" t="s">
        <x:v>25</x:v>
      </x:c>
      <x:c r="U120" s="8"/>
      <x:c r="V120" s="8"/>
      <x:c r="W120" s="8"/>
      <x:c r="X120" s="8"/>
      <x:c r="Y120" s="8"/>
      <x:c r="Z120" s="8"/>
      <x:c r="AA120" s="8"/>
      <x:c r="AB120" s="8"/>
      <x:c r="AC120" s="8"/>
      <x:c r="AD120" s="8"/>
      <x:c r="AE120" s="8"/>
      <x:c r="AF120" s="8"/>
      <x:c r="AG120" s="8"/>
      <x:c r="AH120" s="8"/>
      <x:c r="AI120" s="8"/>
      <x:c r="AJ120" s="8"/>
      <x:c r="AK120" s="8"/>
      <x:c r="AL120" s="11">
        <x:v>4</x:v>
      </x:c>
      <x:c r="AM120" s="8">
        <x:v>4.0999999999999996</x:v>
      </x:c>
      <x:c r="AN120" s="8"/>
      <x:c r="AO120" s="8"/>
      <x:c r="AP120" s="8">
        <x:v>3.3</x:v>
      </x:c>
      <x:c r="AQ120" s="8">
        <x:v>3.7</x:v>
      </x:c>
      <x:c r="AR120" s="8"/>
      <x:c r="AS120" s="8"/>
      <x:c r="AT120" s="8"/>
      <x:c r="AU120" s="8" t="str">
        <x:v>Not applicable—source is not an NISR publication: MINECOFIN.</x:v>
      </x:c>
    </x:row>
    <x:row r="121" ht="14.399999618530273" hidden="1" customHeight="1">
      <x:c r="A121" s="8" t="s">
        <x:v>592</x:v>
      </x:c>
      <x:c r="B121" s="8" t="s">
        <x:v>593</x:v>
      </x:c>
      <x:c r="C121" s="8" t="s">
        <x:v>594</x:v>
      </x:c>
      <x:c r="D121" s="8" t="s">
        <x:v>25</x:v>
      </x:c>
      <x:c r="E121" s="8" t="s">
        <x:v>79</x:v>
      </x:c>
      <x:c r="F121" s="8"/>
      <x:c r="G121" s="8" t="s">
        <x:v>25</x:v>
      </x:c>
      <x:c r="H121" s="8" t="s">
        <x:v>27</x:v>
      </x:c>
      <x:c r="I121" s="8"/>
      <x:c r="J121" s="8"/>
      <x:c r="K121" s="8"/>
      <x:c r="L121" s="8" t="s">
        <x:v>25</x:v>
      </x:c>
      <x:c r="M121" s="8"/>
      <x:c r="N121" s="8" t="s">
        <x:v>25</x:v>
      </x:c>
      <x:c r="O121" s="8" t="s">
        <x:v>474</x:v>
      </x:c>
      <x:c r="P121" s="8" t="s">
        <x:v>593</x:v>
      </x:c>
      <x:c r="Q121" s="8"/>
      <x:c r="R121" s="8" t="s">
        <x:v>25</x:v>
      </x:c>
      <x:c r="S121" s="8"/>
      <x:c r="T121" s="8" t="s">
        <x:v>25</x:v>
      </x:c>
      <x:c r="U121" s="8"/>
      <x:c r="V121" s="8"/>
      <x:c r="W121" s="8"/>
      <x:c r="X121" s="8"/>
      <x:c r="Y121" s="8"/>
      <x:c r="Z121" s="8"/>
      <x:c r="AA121" s="8"/>
      <x:c r="AB121" s="8"/>
      <x:c r="AC121" s="8"/>
      <x:c r="AD121" s="8"/>
      <x:c r="AE121" s="8"/>
      <x:c r="AF121" s="8"/>
      <x:c r="AG121" s="8"/>
      <x:c r="AH121" s="8"/>
      <x:c r="AI121" s="8"/>
      <x:c r="AJ121" s="8"/>
      <x:c r="AK121" s="8"/>
      <x:c r="AL121" s="8">
        <x:v>1.9</x:v>
      </x:c>
      <x:c r="AM121" s="8">
        <x:v>2.2000000000000002</x:v>
      </x:c>
      <x:c r="AN121" s="8">
        <x:v>2.6</x:v>
      </x:c>
      <x:c r="AO121" s="8">
        <x:v>2.4</x:v>
      </x:c>
      <x:c r="AP121" s="8">
        <x:v>2.7</x:v>
      </x:c>
      <x:c r="AQ121" s="8">
        <x:v>3.4</x:v>
      </x:c>
      <x:c r="AR121" s="8">
        <x:v>3.5</x:v>
      </x:c>
      <x:c r="AS121" s="8">
        <x:v>3.6</x:v>
      </x:c>
      <x:c r="AT121" s="8">
        <x:v>3.8</x:v>
      </x:c>
      <x:c r="AU121" s="8" t="str">
        <x:v>Not applicable—source is not an NISR publication: BNR.</x:v>
      </x:c>
    </x:row>
    <x:row r="122" ht="14.399999618530273" hidden="1" customHeight="1">
      <x:c r="A122" s="8" t="s">
        <x:v>595</x:v>
      </x:c>
      <x:c r="B122" s="8" t="s">
        <x:v>596</x:v>
      </x:c>
      <x:c r="C122" s="8" t="s">
        <x:v>597</x:v>
      </x:c>
      <x:c r="D122" s="8" t="s">
        <x:v>25</x:v>
      </x:c>
      <x:c r="E122" s="8" t="s">
        <x:v>26</x:v>
      </x:c>
      <x:c r="F122" s="8"/>
      <x:c r="G122" s="8" t="s">
        <x:v>25</x:v>
      </x:c>
      <x:c r="H122" s="8" t="s">
        <x:v>27</x:v>
      </x:c>
      <x:c r="I122" s="8"/>
      <x:c r="J122" s="8"/>
      <x:c r="K122" s="8"/>
      <x:c r="L122" s="8" t="s">
        <x:v>25</x:v>
      </x:c>
      <x:c r="M122" s="8"/>
      <x:c r="N122" s="8" t="s">
        <x:v>25</x:v>
      </x:c>
      <x:c r="O122" s="8" t="s">
        <x:v>583</x:v>
      </x:c>
      <x:c r="P122" s="8" t="s">
        <x:v>598</x:v>
      </x:c>
      <x:c r="Q122" s="8"/>
      <x:c r="R122" s="8" t="s">
        <x:v>25</x:v>
      </x:c>
      <x:c r="S122" s="8"/>
      <x:c r="T122" s="8" t="s">
        <x:v>25</x:v>
      </x:c>
      <x:c r="U122" s="8"/>
      <x:c r="V122" s="8"/>
      <x:c r="W122" s="8"/>
      <x:c r="X122" s="8"/>
      <x:c r="Y122" s="8"/>
      <x:c r="Z122" s="8"/>
      <x:c r="AA122" s="8"/>
      <x:c r="AB122" s="8"/>
      <x:c r="AC122" s="8"/>
      <x:c r="AD122" s="8"/>
      <x:c r="AE122" s="8"/>
      <x:c r="AF122" s="8"/>
      <x:c r="AG122" s="8"/>
      <x:c r="AH122" s="8"/>
      <x:c r="AI122" s="8"/>
      <x:c r="AJ122" s="8">
        <x:v>4.5999999999999996</x:v>
      </x:c>
      <x:c r="AK122" s="8">
        <x:v>4.2</x:v>
      </x:c>
      <x:c r="AL122" s="8">
        <x:v>4.5999999999999996</x:v>
      </x:c>
      <x:c r="AM122" s="11">
        <x:v>3</x:v>
      </x:c>
      <x:c r="AN122" s="11">
        <x:v>4</x:v>
      </x:c>
      <x:c r="AO122" s="11">
        <x:v>9</x:v>
      </x:c>
      <x:c r="AP122" s="11">
        <x:v>5</x:v>
      </x:c>
      <x:c r="AQ122" s="11">
        <x:v>34</x:v>
      </x:c>
      <x:c r="AR122" s="8">
        <x:v>6.8</x:v>
      </x:c>
      <x:c r="AS122" s="8"/>
      <x:c r="AT122" s="8"/>
      <x:c r="AU122" s="8" t="str">
        <x:v>Not applicable—source is not an NISR publication: MINECOFIN.</x:v>
      </x:c>
    </x:row>
    <x:row r="123" ht="14.399999618530273" hidden="1" customHeight="1">
      <x:c r="A123" s="8" t="s">
        <x:v>599</x:v>
      </x:c>
      <x:c r="B123" s="8" t="s">
        <x:v>600</x:v>
      </x:c>
      <x:c r="C123" s="8" t="s">
        <x:v>601</x:v>
      </x:c>
      <x:c r="D123" s="8" t="s">
        <x:v>25</x:v>
      </x:c>
      <x:c r="E123" s="8" t="s">
        <x:v>602</x:v>
      </x:c>
      <x:c r="F123" s="8"/>
      <x:c r="G123" s="8" t="s">
        <x:v>25</x:v>
      </x:c>
      <x:c r="H123" s="8" t="s">
        <x:v>27</x:v>
      </x:c>
      <x:c r="I123" s="8"/>
      <x:c r="J123" s="8"/>
      <x:c r="K123" s="8"/>
      <x:c r="L123" s="8" t="s">
        <x:v>25</x:v>
      </x:c>
      <x:c r="M123" s="8"/>
      <x:c r="N123" s="8" t="s">
        <x:v>25</x:v>
      </x:c>
      <x:c r="O123" s="8" t="s">
        <x:v>603</x:v>
      </x:c>
      <x:c r="P123" s="8" t="s">
        <x:v>604</x:v>
      </x:c>
      <x:c r="Q123" s="8"/>
      <x:c r="R123" s="8" t="s">
        <x:v>25</x:v>
      </x:c>
      <x:c r="S123" s="8"/>
      <x:c r="T123" s="8" t="s">
        <x:v>25</x:v>
      </x:c>
      <x:c r="U123" s="8"/>
      <x:c r="V123" s="8"/>
      <x:c r="W123" s="8"/>
      <x:c r="X123" s="8"/>
      <x:c r="Y123" s="8"/>
      <x:c r="Z123" s="8"/>
      <x:c r="AA123" s="8"/>
      <x:c r="AB123" s="8"/>
      <x:c r="AC123" s="8"/>
      <x:c r="AD123" s="8"/>
      <x:c r="AE123" s="8"/>
      <x:c r="AF123" s="8"/>
      <x:c r="AG123" s="8"/>
      <x:c r="AH123" s="8"/>
      <x:c r="AI123" s="8"/>
      <x:c r="AJ123" s="8"/>
      <x:c r="AK123" s="8"/>
      <x:c r="AL123" s="8"/>
      <x:c r="AM123" s="8"/>
      <x:c r="AN123" s="8"/>
      <x:c r="AO123" s="8">
        <x:v>0.1</x:v>
      </x:c>
      <x:c r="AP123" s="11">
        <x:v>0.14000000000000001</x:v>
      </x:c>
      <x:c r="AQ123" s="11">
        <x:v>0.25</x:v>
      </x:c>
      <x:c r="AR123" s="11">
        <x:v>0.36</x:v>
      </x:c>
      <x:c r="AS123" s="11">
        <x:v>0.46</x:v>
      </x:c>
      <x:c r="AT123" s="11">
        <x:v>0.54</x:v>
      </x:c>
      <x:c r="AU123" s="8" t="str">
        <x:v>Not applicable—source is not an NISR publication: RURA.</x:v>
      </x:c>
    </x:row>
    <x:row r="124" ht="26.399999618530273" hidden="0" customHeight="1">
      <x:c r="A124" s="8" t="s">
        <x:v>605</x:v>
      </x:c>
      <x:c r="B124" s="8" t="s">
        <x:v>606</x:v>
      </x:c>
      <x:c r="C124" s="8" t="s">
        <x:v>607</x:v>
      </x:c>
      <x:c r="D124" s="8" t="s">
        <x:v>25</x:v>
      </x:c>
      <x:c r="E124" s="8" t="s">
        <x:v>26</x:v>
      </x:c>
      <x:c r="F124" s="8"/>
      <x:c r="G124" s="8" t="s">
        <x:v>25</x:v>
      </x:c>
      <x:c r="H124" s="8" t="s">
        <x:v>27</x:v>
      </x:c>
      <x:c r="I124" s="8"/>
      <x:c r="J124" s="8"/>
      <x:c r="K124" s="8"/>
      <x:c r="L124" s="8" t="s">
        <x:v>25</x:v>
      </x:c>
      <x:c r="M124" s="8"/>
      <x:c r="N124" s="8" t="s">
        <x:v>25</x:v>
      </x:c>
      <x:c r="O124" s="8" t="s">
        <x:v>608</x:v>
      </x:c>
      <x:c r="P124" s="8" t="s">
        <x:v>606</x:v>
      </x:c>
      <x:c r="Q124" s="8"/>
      <x:c r="R124" s="8" t="s">
        <x:v>25</x:v>
      </x:c>
      <x:c r="S124" s="8"/>
      <x:c r="T124" s="8" t="s">
        <x:v>25</x:v>
      </x:c>
      <x:c r="U124" s="8"/>
      <x:c r="V124" s="8"/>
      <x:c r="W124" s="8"/>
      <x:c r="X124" s="8"/>
      <x:c r="Y124" s="8"/>
      <x:c r="Z124" s="8"/>
      <x:c r="AA124" s="8"/>
      <x:c r="AB124" s="8"/>
      <x:c r="AC124" s="8"/>
      <x:c r="AD124" s="8"/>
      <x:c r="AE124" s="8"/>
      <x:c r="AF124" s="8"/>
      <x:c r="AG124" s="8"/>
      <x:c r="AH124" s="8">
        <x:v>6.7</x:v>
      </x:c>
      <x:c r="AI124" s="8"/>
      <x:c r="AJ124" s="8"/>
      <x:c r="AK124" s="8"/>
      <x:c r="AL124" s="8"/>
      <x:c r="AM124" s="8"/>
      <x:c r="AN124" s="8"/>
      <x:c r="AO124" s="8"/>
      <x:c r="AP124" s="8">
        <x:v>17.600000000000001</x:v>
      </x:c>
      <x:c r="AQ124" s="8"/>
      <x:c r="AR124" s="8">
        <x:v>16.2</x:v>
      </x:c>
      <x:c r="AS124" s="8"/>
      <x:c r="AT124" s="8"/>
      <x:c r="AU124" s="8" t="str">
        <x:v>Table 20, Population who used internet by province and age group, p. 23, Fifth Rwanda Population and Housing Census 2022—Main Indicators Report (2023)</x:v>
      </x:c>
    </x:row>
    <x:row r="125" ht="14.399999618530273" hidden="1" customHeight="1">
      <x:c r="A125" s="8" t="s">
        <x:v>609</x:v>
      </x:c>
      <x:c r="B125" s="8" t="s">
        <x:v>610</x:v>
      </x:c>
      <x:c r="C125" s="8" t="s">
        <x:v>611</x:v>
      </x:c>
      <x:c r="D125" s="8" t="s">
        <x:v>25</x:v>
      </x:c>
      <x:c r="E125" s="8" t="s">
        <x:v>79</x:v>
      </x:c>
      <x:c r="F125" s="8"/>
      <x:c r="G125" s="8" t="s">
        <x:v>25</x:v>
      </x:c>
      <x:c r="H125" s="8" t="s">
        <x:v>27</x:v>
      </x:c>
      <x:c r="I125" s="8"/>
      <x:c r="J125" s="8"/>
      <x:c r="K125" s="8"/>
      <x:c r="L125" s="8" t="s">
        <x:v>25</x:v>
      </x:c>
      <x:c r="M125" s="8"/>
      <x:c r="N125" s="8" t="s">
        <x:v>25</x:v>
      </x:c>
      <x:c r="O125" s="8" t="s">
        <x:v>583</x:v>
      </x:c>
      <x:c r="P125" s="8" t="s">
        <x:v>612</x:v>
      </x:c>
      <x:c r="Q125" s="8"/>
      <x:c r="R125" s="8" t="s">
        <x:v>25</x:v>
      </x:c>
      <x:c r="S125" s="8"/>
      <x:c r="T125" s="8" t="s">
        <x:v>25</x:v>
      </x:c>
      <x:c r="U125" s="8"/>
      <x:c r="V125" s="8"/>
      <x:c r="W125" s="8"/>
      <x:c r="X125" s="8"/>
      <x:c r="Y125" s="8"/>
      <x:c r="Z125" s="8"/>
      <x:c r="AA125" s="8"/>
      <x:c r="AB125" s="8"/>
      <x:c r="AC125" s="8"/>
      <x:c r="AD125" s="8"/>
      <x:c r="AE125" s="8"/>
      <x:c r="AF125" s="8"/>
      <x:c r="AG125" s="8"/>
      <x:c r="AH125" s="8"/>
      <x:c r="AI125" s="8"/>
      <x:c r="AJ125" s="8"/>
      <x:c r="AK125" s="8"/>
      <x:c r="AL125" s="8">
        <x:v>1534.4</x:v>
      </x:c>
      <x:c r="AM125" s="8">
        <x:v>1979.9</x:v>
      </x:c>
      <x:c r="AN125" s="8">
        <x:v>2039.2</x:v>
      </x:c>
      <x:c r="AO125" s="8"/>
      <x:c r="AP125" s="8">
        <x:v>2159.6999999999998</x:v>
      </x:c>
      <x:c r="AQ125" s="8"/>
      <x:c r="AR125" s="8"/>
      <x:c r="AS125" s="8"/>
      <x:c r="AT125" s="8"/>
      <x:c r="AU125" s="8" t="str">
        <x:v>Not applicable—source is not an NISR publication: MINECOFIN.</x:v>
      </x:c>
    </x:row>
    <x:row r="126" ht="39.599998474121094" hidden="0" customHeight="1">
      <x:c r="A126" s="8" t="s">
        <x:v>613</x:v>
      </x:c>
      <x:c r="B126" s="14" t="s">
        <x:v>614</x:v>
      </x:c>
      <x:c r="C126" s="8" t="s">
        <x:v>615</x:v>
      </x:c>
      <x:c r="D126" s="8" t="s">
        <x:v>25</x:v>
      </x:c>
      <x:c r="E126" s="8" t="s">
        <x:v>26</x:v>
      </x:c>
      <x:c r="F126" s="8"/>
      <x:c r="G126" s="8" t="s">
        <x:v>25</x:v>
      </x:c>
      <x:c r="H126" s="8" t="s">
        <x:v>27</x:v>
      </x:c>
      <x:c r="I126" s="8"/>
      <x:c r="J126" s="8"/>
      <x:c r="K126" s="8"/>
      <x:c r="L126" s="8" t="s">
        <x:v>25</x:v>
      </x:c>
      <x:c r="M126" s="8"/>
      <x:c r="N126" s="8" t="s">
        <x:v>25</x:v>
      </x:c>
      <x:c r="O126" s="8" t="s">
        <x:v>363</x:v>
      </x:c>
      <x:c r="P126" s="8" t="s">
        <x:v>361</x:v>
      </x:c>
      <x:c r="Q126" s="8"/>
      <x:c r="R126" s="8" t="s">
        <x:v>25</x:v>
      </x:c>
      <x:c r="S126" s="8"/>
      <x:c r="T126" s="8" t="s">
        <x:v>25</x:v>
      </x:c>
      <x:c r="U126" s="8"/>
      <x:c r="V126" s="8"/>
      <x:c r="W126" s="8"/>
      <x:c r="X126" s="8"/>
      <x:c r="Y126" s="8">
        <x:v>5.7</x:v>
      </x:c>
      <x:c r="Z126" s="8">
        <x:v>10.4</x:v>
      </x:c>
      <x:c r="AA126" s="8">
        <x:v>-0.3</x:v>
      </x:c>
      <x:c r="AB126" s="8">
        <x:v>3.7</x:v>
      </x:c>
      <x:c r="AC126" s="8">
        <x:v>6.9</x:v>
      </x:c>
      <x:c r="AD126" s="8">
        <x:v>6.8</x:v>
      </x:c>
      <x:c r="AE126" s="8">
        <x:v>5.3</x:v>
      </x:c>
      <x:c r="AF126" s="8">
        <x:v>7.6</x:v>
      </x:c>
      <x:c r="AG126" s="8">
        <x:v>4.0999999999999996</x:v>
      </x:c>
      <x:c r="AH126" s="8">
        <x:v>4.0999999999999996</x:v>
      </x:c>
      <x:c r="AI126" s="8">
        <x:v>5.8</x:v>
      </x:c>
      <x:c r="AJ126" s="8">
        <x:v>5.5</x:v>
      </x:c>
      <x:c r="AK126" s="8">
        <x:v>2.8</x:v>
      </x:c>
      <x:c r="AL126" s="8">
        <x:v>3.3</x:v>
      </x:c>
      <x:c r="AM126" s="8">
        <x:v>1.3</x:v>
      </x:c>
      <x:c r="AN126" s="8">
        <x:v>5.8</x:v>
      </x:c>
      <x:c r="AO126" s="8">
        <x:v>6.8</x:v>
      </x:c>
      <x:c r="AP126" s="8">
        <x:v>-5.7</x:v>
      </x:c>
      <x:c r="AQ126" s="8">
        <x:v>8.3000000000000007</x:v>
      </x:c>
      <x:c r="AR126" s="8">
        <x:v>5.7</x:v>
      </x:c>
      <x:c r="AS126" s="8">
        <x:v>5.9</x:v>
      </x:c>
      <x:c r="AT126" s="8">
        <x:v>6.5</x:v>
      </x:c>
      <x:c r="AU126" s="8" t="str">
        <x:v>Unnumbered/derived, Annual growth rate of real GDP per capita, National accounts time series, GDP National Accounts 2024—Annual Report (2025). Needs review: Duplicate economic series of MAP-025; both mappings should point to one reusable extraction rule.</x:v>
      </x:c>
    </x:row>
    <x:row r="127" ht="52.79999923706055" hidden="0" customHeight="1">
      <x:c r="A127" s="8" t="s">
        <x:v>616</x:v>
      </x:c>
      <x:c r="B127" s="8" t="s">
        <x:v>617</x:v>
      </x:c>
      <x:c r="C127" s="8" t="s">
        <x:v>618</x:v>
      </x:c>
      <x:c r="D127" s="8" t="s">
        <x:v>25</x:v>
      </x:c>
      <x:c r="E127" s="8" t="s">
        <x:v>26</x:v>
      </x:c>
      <x:c r="F127" s="8"/>
      <x:c r="G127" s="8" t="s">
        <x:v>25</x:v>
      </x:c>
      <x:c r="H127" s="8" t="s">
        <x:v>27</x:v>
      </x:c>
      <x:c r="I127" s="8"/>
      <x:c r="J127" s="8"/>
      <x:c r="K127" s="8"/>
      <x:c r="L127" s="8" t="s">
        <x:v>25</x:v>
      </x:c>
      <x:c r="M127" s="8"/>
      <x:c r="N127" s="8" t="s">
        <x:v>25</x:v>
      </x:c>
      <x:c r="O127" s="8" t="s">
        <x:v>619</x:v>
      </x:c>
      <x:c r="P127" s="8" t="s">
        <x:v>620</x:v>
      </x:c>
      <x:c r="Q127" s="8"/>
      <x:c r="R127" s="8" t="s">
        <x:v>25</x:v>
      </x:c>
      <x:c r="S127" s="8"/>
      <x:c r="T127" s="8" t="s">
        <x:v>25</x:v>
      </x:c>
      <x:c r="U127" s="8"/>
      <x:c r="V127" s="8"/>
      <x:c r="W127" s="8"/>
      <x:c r="X127" s="8"/>
      <x:c r="Y127" s="8"/>
      <x:c r="Z127" s="8"/>
      <x:c r="AA127" s="8"/>
      <x:c r="AB127" s="8"/>
      <x:c r="AC127" s="8"/>
      <x:c r="AD127" s="8"/>
      <x:c r="AE127" s="8"/>
      <x:c r="AF127" s="8"/>
      <x:c r="AG127" s="8"/>
      <x:c r="AH127" s="8"/>
      <x:c r="AI127" s="8"/>
      <x:c r="AJ127" s="8"/>
      <x:c r="AK127" s="8"/>
      <x:c r="AL127" s="8"/>
      <x:c r="AM127" s="8"/>
      <x:c r="AN127" s="8"/>
      <x:c r="AO127" s="8">
        <x:v>24</x:v>
      </x:c>
      <x:c r="AP127" s="8">
        <x:v>27</x:v>
      </x:c>
      <x:c r="AQ127" s="8">
        <x:v>30</x:v>
      </x:c>
      <x:c r="AR127" s="8">
        <x:v>32</x:v>
      </x:c>
      <x:c r="AS127" s="8">
        <x:v>36</x:v>
      </x:c>
      <x:c r="AT127" s="8"/>
      <x:c r="AU127" s="8" t="str">
        <x:v>Not a published table, National SDG indicator availability and disaggregation, Platform export, Rwanda SDG Data Platform administrative monitoring output (2024). Needs review: Define numerator, denominator and platform export version before automation; workbook source misspells ‘Platform’.</x:v>
      </x:c>
    </x:row>
    <x:row r="128" ht="14.399999618530273" hidden="1" customHeight="1">
      <x:c r="A128" s="8" t="s">
        <x:v>621</x:v>
      </x:c>
      <x:c r="B128" s="8" t="s">
        <x:v>622</x:v>
      </x:c>
      <x:c r="C128" s="8" t="s">
        <x:v>623</x:v>
      </x:c>
      <x:c r="D128" s="8" t="s">
        <x:v>25</x:v>
      </x:c>
      <x:c r="E128" s="8" t="s">
        <x:v>79</x:v>
      </x:c>
      <x:c r="F128" s="8"/>
      <x:c r="G128" s="8" t="s">
        <x:v>25</x:v>
      </x:c>
      <x:c r="H128" s="8" t="s">
        <x:v>27</x:v>
      </x:c>
      <x:c r="I128" s="8"/>
      <x:c r="J128" s="8"/>
      <x:c r="K128" s="8"/>
      <x:c r="L128" s="8" t="s">
        <x:v>25</x:v>
      </x:c>
      <x:c r="M128" s="8"/>
      <x:c r="N128" s="8" t="s">
        <x:v>25</x:v>
      </x:c>
      <x:c r="O128" s="8" t="s">
        <x:v>624</x:v>
      </x:c>
      <x:c r="P128" s="8" t="s">
        <x:v>625</x:v>
      </x:c>
      <x:c r="Q128" s="8"/>
      <x:c r="R128" s="8" t="s">
        <x:v>25</x:v>
      </x:c>
      <x:c r="S128" s="8"/>
      <x:c r="T128" s="8" t="s">
        <x:v>25</x:v>
      </x:c>
      <x:c r="U128" s="8"/>
      <x:c r="V128" s="8"/>
      <x:c r="W128" s="8"/>
      <x:c r="X128" s="8"/>
      <x:c r="Y128" s="8"/>
      <x:c r="Z128" s="8"/>
      <x:c r="AA128" s="8"/>
      <x:c r="AB128" s="8"/>
      <x:c r="AC128" s="8"/>
      <x:c r="AD128" s="8"/>
      <x:c r="AE128" s="8"/>
      <x:c r="AF128" s="8"/>
      <x:c r="AG128" s="11">
        <x:v>7956736</x:v>
      </x:c>
      <x:c r="AH128" s="11">
        <x:v>10418880</x:v>
      </x:c>
      <x:c r="AI128" s="11">
        <x:v>5102809</x:v>
      </x:c>
      <x:c r="AJ128" s="11">
        <x:v>408926</x:v>
      </x:c>
      <x:c r="AK128" s="11">
        <x:v>5094083</x:v>
      </x:c>
      <x:c r="AL128" s="11">
        <x:v>6574017</x:v>
      </x:c>
      <x:c r="AM128" s="11">
        <x:v>8400241.3956557494</x:v>
      </x:c>
      <x:c r="AN128" s="11">
        <x:v>7426903.8428782504</x:v>
      </x:c>
      <x:c r="AO128" s="11">
        <x:v>5200425.3494196003</x:v>
      </x:c>
      <x:c r="AP128" s="11">
        <x:v>520447</x:v>
      </x:c>
      <x:c r="AQ128" s="8"/>
      <x:c r="AR128" s="8"/>
      <x:c r="AS128" s="8"/>
      <x:c r="AT128" s="8"/>
      <x:c r="AU128" s="8" t="str">
        <x:v>Not applicable—source is not an NISR publication: PARIS21.</x:v>
      </x:c>
    </x:row>
  </x:sheetData>
  <x:pageMargins left="0.7" right="0.7" top="0.75" bottom="0.75" header="0.3" footer="0.3"/>
</x:worksheet>
</file>

<file path=xl/worksheets/sheet2.xml><?xml version="1.0" encoding="utf-8"?>
<x:worksheet xmlns:x="http://schemas.openxmlformats.org/spreadsheetml/2006/main">
  <x:sheetFormatPr defaultColWidth="9.33203125" defaultRowHeight="14.399999618530273"/>
  <x:cols>
    <x:col min="1" max="1" width="28.33203125" style="1" customWidth="1"/>
    <x:col min="2" max="2" width="6.6640625" style="1" customWidth="1"/>
    <x:col min="3" max="3" width="12.44140625" style="1" customWidth="1"/>
    <x:col min="4" max="5" width="9.33203125" style="1" customWidth="0"/>
    <x:col min="6" max="6" width="16" style="1" customWidth="1"/>
    <x:col min="7" max="16384" width="9.33203125" style="1" customWidth="0"/>
  </x:cols>
  <x:sheetData>
    <x:row r="1">
      <x:c r="A1" s="3" t="s">
        <x:v>626</x:v>
      </x:c>
      <x:c r="B1" s="3" t="s">
        <x:v>627</x:v>
      </x:c>
      <x:c r="C1" s="3" t="s">
        <x:v>628</x:v>
      </x:c>
      <x:c r="D1" s="4" t="s">
        <x:v>629</x:v>
      </x:c>
      <x:c r="E1" s="5"/>
      <x:c r="F1" s="5" t="s">
        <x:v>630</x:v>
      </x:c>
      <x:c r="G1" s="5" t="s">
        <x:v>631</x:v>
      </x:c>
    </x:row>
    <x:row r="2">
      <x:c r="A2" s="1" t="s">
        <x:v>632</x:v>
      </x:c>
      <x:c r="B2" s="1" t="s">
        <x:v>633</x:v>
      </x:c>
      <x:c r="C2" s="1" t="s">
        <x:v>634</x:v>
      </x:c>
      <x:c r="D2" s="1" t="s">
        <x:v>635</x:v>
      </x:c>
      <x:c r="F2" s="1" t="s">
        <x:v>636</x:v>
      </x:c>
      <x:c r="G2" s="2">
        <x:v>25</x:v>
      </x:c>
    </x:row>
    <x:row r="3">
      <x:c r="A3" s="1" t="s">
        <x:v>637</x:v>
      </x:c>
      <x:c r="B3" s="1" t="s">
        <x:v>633</x:v>
      </x:c>
      <x:c r="C3" s="1" t="s">
        <x:v>634</x:v>
      </x:c>
      <x:c r="D3" s="2" t="s">
        <x:v>638</x:v>
      </x:c>
    </x:row>
    <x:row r="4">
      <x:c r="A4" s="1" t="s">
        <x:v>639</x:v>
      </x:c>
      <x:c r="B4" s="1" t="s">
        <x:v>633</x:v>
      </x:c>
      <x:c r="C4" s="1" t="s">
        <x:v>640</x:v>
      </x:c>
      <x:c r="D4" s="2" t="s">
        <x:v>641</x:v>
      </x:c>
    </x:row>
    <x:row r="5">
      <x:c r="A5" s="1" t="s">
        <x:v>642</x:v>
      </x:c>
      <x:c r="B5" s="1" t="s">
        <x:v>633</x:v>
      </x:c>
      <x:c r="C5" s="1" t="s">
        <x:v>640</x:v>
      </x:c>
      <x:c r="D5" s="2" t="s">
        <x:v>643</x:v>
      </x:c>
    </x:row>
    <x:row r="6">
      <x:c r="A6" s="1" t="s">
        <x:v>644</x:v>
      </x:c>
      <x:c r="B6" s="1" t="s">
        <x:v>633</x:v>
      </x:c>
      <x:c r="C6" s="1" t="s">
        <x:v>645</x:v>
      </x:c>
      <x:c r="D6" s="1">
        <x:v>1</x:v>
      </x:c>
    </x:row>
    <x:row r="7">
      <x:c r="A7" s="1" t="s">
        <x:v>646</x:v>
      </x:c>
      <x:c r="B7" s="1" t="s">
        <x:v>633</x:v>
      </x:c>
      <x:c r="C7" s="1" t="s">
        <x:v>640</x:v>
      </x:c>
      <x:c r="D7" s="2" t="s">
        <x:v>428</x:v>
      </x:c>
    </x:row>
    <x:row r="8">
      <x:c r="A8" s="1" t="s">
        <x:v>647</x:v>
      </x:c>
      <x:c r="B8" s="1" t="s">
        <x:v>633</x:v>
      </x:c>
      <x:c r="C8" s="1" t="s">
        <x:v>640</x:v>
      </x:c>
      <x:c r="D8" s="2" t="s">
        <x:v>423</x:v>
      </x:c>
    </x:row>
    <x:row r="9">
      <x:c r="A9" s="1" t="s">
        <x:v>648</x:v>
      </x:c>
      <x:c r="B9" s="1" t="s">
        <x:v>633</x:v>
      </x:c>
      <x:c r="C9" s="1" t="s">
        <x:v>640</x:v>
      </x:c>
      <x:c r="D9" s="1" t="s">
        <x:v>649</x:v>
      </x:c>
    </x:row>
    <x:row r="10">
      <x:c r="A10" s="1" t="s">
        <x:v>650</x:v>
      </x:c>
      <x:c r="B10" s="1" t="s">
        <x:v>633</x:v>
      </x:c>
      <x:c r="C10" s="1" t="s">
        <x:v>634</x:v>
      </x:c>
      <x:c r="D10" s="1" t="s">
        <x:v>25</x:v>
      </x:c>
    </x:row>
    <x:row r="11">
      <x:c r="A11" s="1" t="s">
        <x:v>651</x:v>
      </x:c>
      <x:c r="B11" s="1" t="s">
        <x:v>633</x:v>
      </x:c>
      <x:c r="C11" s="1" t="s">
        <x:v>640</x:v>
      </x:c>
      <x:c r="D11" s="1" t="s">
        <x:v>638</x:v>
      </x:c>
    </x:row>
    <x:row r="12">
      <x:c r="A12" s="1" t="s">
        <x:v>652</x:v>
      </x:c>
      <x:c r="B12" s="1" t="s">
        <x:v>633</x:v>
      </x:c>
      <x:c r="C12" s="1" t="s">
        <x:v>640</x:v>
      </x:c>
      <x:c r="D12" s="1" t="s">
        <x:v>653</x:v>
      </x:c>
    </x:row>
    <x:row r="13">
      <x:c r="A13" s="1" t="s">
        <x:v>654</x:v>
      </x:c>
      <x:c r="B13" s="1" t="s">
        <x:v>633</x:v>
      </x:c>
      <x:c r="C13" s="1" t="s">
        <x:v>634</x:v>
      </x:c>
      <x:c r="D13" s="1" t="s">
        <x:v>25</x:v>
      </x:c>
    </x:row>
    <x:row r="14">
      <x:c r="A14" s="1" t="s">
        <x:v>655</x:v>
      </x:c>
      <x:c r="B14" s="1" t="s">
        <x:v>633</x:v>
      </x:c>
      <x:c r="C14" s="1" t="s">
        <x:v>640</x:v>
      </x:c>
      <x:c r="D14" s="1" t="s">
        <x:v>656</x:v>
      </x:c>
    </x:row>
    <x:row r="15">
      <x:c r="A15" s="1" t="s">
        <x:v>657</x:v>
      </x:c>
      <x:c r="B15" s="1" t="s">
        <x:v>633</x:v>
      </x:c>
      <x:c r="C15" s="1" t="s">
        <x:v>634</x:v>
      </x:c>
      <x:c r="D15" s="1" t="s">
        <x:v>25</x:v>
      </x:c>
    </x:row>
    <x:row r="16">
      <x:c r="A16" s="1" t="s">
        <x:v>658</x:v>
      </x:c>
      <x:c r="B16" s="1" t="s">
        <x:v>633</x:v>
      </x:c>
      <x:c r="C16" s="1" t="s">
        <x:v>634</x:v>
      </x:c>
      <x:c r="D16" s="1" t="s">
        <x:v>25</x:v>
      </x:c>
    </x:row>
    <x:row r="17">
      <x:c r="A17" s="1" t="s">
        <x:v>659</x:v>
      </x:c>
      <x:c r="B17" s="1" t="s">
        <x:v>633</x:v>
      </x:c>
      <x:c r="C17" s="1" t="s">
        <x:v>634</x:v>
      </x:c>
      <x:c r="D17" s="1" t="s">
        <x:v>25</x:v>
      </x:c>
    </x:row>
    <x:row r="18">
      <x:c r="A18" s="1" t="s">
        <x:v>660</x:v>
      </x:c>
      <x:c r="B18" s="1" t="s">
        <x:v>661</x:v>
      </x:c>
      <x:c r="C18" s="1" t="s">
        <x:v>634</x:v>
      </x:c>
      <x:c r="D18" s="1" t="s">
        <x:v>662</x:v>
      </x:c>
    </x:row>
    <x:row r="19">
      <x:c r="A19" s="1" t="s">
        <x:v>663</x:v>
      </x:c>
      <x:c r="B19" s="1" t="s">
        <x:v>661</x:v>
      </x:c>
      <x:c r="C19" s="1" t="s">
        <x:v>640</x:v>
      </x:c>
      <x:c r="D19" s="2" t="s">
        <x:v>664</x:v>
      </x:c>
    </x:row>
    <x:row r="20">
      <x:c r="A20" s="1" t="s">
        <x:v>665</x:v>
      </x:c>
      <x:c r="B20" s="1" t="s">
        <x:v>661</x:v>
      </x:c>
      <x:c r="C20" s="1" t="s">
        <x:v>640</x:v>
      </x:c>
      <x:c r="D20" s="1" t="s">
        <x:v>666</x:v>
      </x:c>
    </x:row>
    <x:row r="21">
      <x:c r="A21" s="1" t="s">
        <x:v>667</x:v>
      </x:c>
      <x:c r="B21" s="1" t="s">
        <x:v>661</x:v>
      </x:c>
      <x:c r="C21" s="1" t="s">
        <x:v>640</x:v>
      </x:c>
      <x:c r="D21" s="1" t="s">
        <x:v>668</x:v>
      </x:c>
    </x:row>
    <x:row r="22">
      <x:c r="A22" s="1" t="s">
        <x:v>669</x:v>
      </x:c>
      <x:c r="B22" s="1" t="s">
        <x:v>661</x:v>
      </x:c>
      <x:c r="C22" s="1" t="s">
        <x:v>634</x:v>
      </x:c>
      <x:c r="D22" s="1">
        <x:v>0</x:v>
      </x:c>
    </x:row>
    <x:row r="23">
      <x:c r="A23" s="1" t="s">
        <x:v>670</x:v>
      </x:c>
      <x:c r="B23" s="1" t="s">
        <x:v>661</x:v>
      </x:c>
      <x:c r="C23" s="1" t="s">
        <x:v>634</x:v>
      </x:c>
      <x:c r="D23" s="1" t="s">
        <x:v>635</x:v>
      </x:c>
    </x:row>
    <x:row r="24">
      <x:c r="A24" s="1" t="s">
        <x:v>671</x:v>
      </x:c>
      <x:c r="B24" s="1" t="s">
        <x:v>661</x:v>
      </x:c>
      <x:c r="C24" s="1" t="s">
        <x:v>645</x:v>
      </x:c>
      <x:c r="D24" s="1">
        <x:v>1</x:v>
      </x:c>
    </x:row>
  </x:sheetData>
  <x:pageMargins left="0.7" right="0.7" top="0.75" bottom="0.75" header="0.3" footer="0.3"/>
</x:worksheet>
</file>

<file path=xl/worksheets/sheet3.xml><?xml version="1.0" encoding="utf-8"?>
<x:worksheet xmlns:x="http://schemas.openxmlformats.org/spreadsheetml/2006/main">
  <x:sheetFormatPr defaultRowHeight="14.399999618530273"/>
  <x:cols>
    <x:col min="1" max="2" width="18" customWidth="1"/>
    <x:col min="3" max="3" width="28" customWidth="1"/>
    <x:col min="4" max="4" width="18" customWidth="1"/>
    <x:col min="5" max="5" width="28" customWidth="1"/>
    <x:col min="6" max="6" width="18" customWidth="1"/>
    <x:col min="7" max="7" width="28" customWidth="1"/>
    <x:col min="8" max="9" width="18" customWidth="1"/>
    <x:col min="10" max="11" width="28" customWidth="1"/>
    <x:col min="12" max="13" width="18" customWidth="1"/>
    <x:col min="14" max="14" width="34" hidden="0" customWidth="1"/>
    <x:col min="15" max="16" width="18" customWidth="1"/>
    <x:col min="17" max="19" width="28" customWidth="1"/>
    <x:col min="20" max="26" width="18" customWidth="1"/>
    <x:col min="27" max="27" width="42" hidden="0" customWidth="1"/>
    <x:col min="11" max="11" width="30" hidden="0" customWidth="1"/>
    <x:col min="17" max="17" width="30" hidden="0" customWidth="1"/>
    <x:col min="18" max="18" width="30" hidden="0" customWidth="1"/>
  </x:cols>
  <x:sheetData>
    <x:row r="1">
      <x:c r="A1" s="7" t="s">
        <x:v>672</x:v>
      </x:c>
      <x:c r="B1" s="7" t="s">
        <x:v>0</x:v>
      </x:c>
      <x:c r="C1" s="7" t="s">
        <x:v>1</x:v>
      </x:c>
      <x:c r="D1" s="7" t="s">
        <x:v>2</x:v>
      </x:c>
      <x:c r="E1" s="7" t="s">
        <x:v>673</x:v>
      </x:c>
      <x:c r="F1" s="7" t="s">
        <x:v>4</x:v>
      </x:c>
      <x:c r="G1" s="7" t="s">
        <x:v>674</x:v>
      </x:c>
      <x:c r="H1" s="7" t="s">
        <x:v>675</x:v>
      </x:c>
      <x:c r="I1" s="7" t="s">
        <x:v>676</x:v>
      </x:c>
      <x:c r="J1" s="7" t="s">
        <x:v>677</x:v>
      </x:c>
      <x:c r="K1" s="7" t="s">
        <x:v>678</x:v>
      </x:c>
      <x:c r="L1" s="7" t="s">
        <x:v>679</x:v>
      </x:c>
      <x:c r="M1" s="7" t="s">
        <x:v>680</x:v>
      </x:c>
      <x:c r="N1" s="7" t="s">
        <x:v>681</x:v>
      </x:c>
      <x:c r="O1" s="7" t="s">
        <x:v>682</x:v>
      </x:c>
      <x:c r="P1" s="7" t="s">
        <x:v>683</x:v>
      </x:c>
      <x:c r="Q1" s="7" t="s">
        <x:v>684</x:v>
      </x:c>
      <x:c r="R1" s="7" t="s">
        <x:v>685</x:v>
      </x:c>
      <x:c r="S1" s="7" t="s">
        <x:v>686</x:v>
      </x:c>
      <x:c r="T1" s="7" t="s">
        <x:v>687</x:v>
      </x:c>
      <x:c r="U1" s="7" t="s">
        <x:v>688</x:v>
      </x:c>
      <x:c r="V1" s="7" t="s">
        <x:v>689</x:v>
      </x:c>
      <x:c r="W1" s="7" t="s">
        <x:v>690</x:v>
      </x:c>
      <x:c r="X1" s="7" t="s">
        <x:v>691</x:v>
      </x:c>
      <x:c r="Y1" s="7" t="s">
        <x:v>692</x:v>
      </x:c>
      <x:c r="Z1" s="7" t="s">
        <x:v>693</x:v>
      </x:c>
      <x:c r="AA1" s="7" t="s">
        <x:v>694</x:v>
      </x:c>
    </x:row>
    <x:row r="2" ht="39.599998474121094" hidden="0" customHeight="1">
      <x:c r="A2" s="8" t="str">
        <x:v>MAP-001</x:v>
      </x:c>
      <x:c r="B2" s="8" t="str">
        <x:v>1.2.1</x:v>
      </x:c>
      <x:c r="C2" s="8" t="str">
        <x:v>Proportion of population living below the national poverty line, by sex and age</x:v>
      </x:c>
      <x:c r="D2" s="8" t="str">
        <x:v>SI_POV_NAHC</x:v>
      </x:c>
      <x:c r="E2" s="8" t="str">
        <x:v>Proportion of population living below the national poverty line</x:v>
      </x:c>
      <x:c r="F2" s="8" t="str">
        <x:v>PT</x:v>
      </x:c>
      <x:c r="G2" s="8" t="str">
        <x:v>EICV, NISR</x:v>
      </x:c>
      <x:c r="H2" s="8" t="n">
        <x:v>2024</x:v>
      </x:c>
      <x:c r="I2" s="8" t="n">
        <x:v>27.4</x:v>
      </x:c>
      <x:c r="J2" s="8" t="str">
        <x:v>EICV</x:v>
      </x:c>
      <x:c r="K2" s="8" t="str">
        <x:v>EICV7 Main Indicators Report 2023/24</x:v>
      </x:c>
      <x:c r="L2" s="8" t="n">
        <x:v>2025</x:v>
      </x:c>
      <x:c r="M2" s="8" t="str">
        <x:v>PDF</x:v>
      </x:c>
      <x:c r="N2" s="8" t="str">
        <x:v>https://statistics.gov.rw/sites/default/files/documents/2025-07/EICV7_Main%20Indicator%20Report.pdf</x:v>
      </x:c>
      <x:c r="O2" s="8" t="str">
        <x:v>p. 79</x:v>
      </x:c>
      <x:c r="P2" s="8" t="str">
        <x:v>Table 9.1</x:v>
      </x:c>
      <x:c r="Q2" s="8" t="str">
        <x:v>Headcount poverty rate (%)—EICV7 (2023/24)</x:v>
      </x:c>
      <x:c r="R2" s="8" t="str">
        <x:v>Total poverty rate (%)</x:v>
      </x:c>
      <x:c r="S2" s="8" t="str">
        <x:v>Rwanda</x:v>
      </x:c>
      <x:c r="T2" s="8" t="str">
        <x:v>Poverty rate (%)</x:v>
      </x:c>
      <x:c r="U2" s="8" t="str">
        <x:v>RW/National</x:v>
      </x:c>
      <x:c r="V2" s="8" t="str">
        <x:v>Total</x:v>
      </x:c>
      <x:c r="W2" s="8" t="str">
        <x:v>PDF table extraction</x:v>
      </x:c>
      <x:c r="X2" s="8" t="str">
        <x:v>High</x:v>
      </x:c>
      <x:c r="Y2" s="8" t="str">
        <x:v>Ready</x:v>
      </x:c>
      <x:c r="Z2" s="8" t="str">
        <x:v>Source checked</x:v>
      </x:c>
      <x:c r="AA2" s="8" t="str">
        <x:v>Verified against the national value 27.4.</x:v>
      </x:c>
    </x:row>
    <x:row r="3" ht="66" hidden="0" customHeight="1">
      <x:c r="A3" s="8" t="str">
        <x:v>MAP-002</x:v>
      </x:c>
      <x:c r="B3" s="8" t="str">
        <x:v>1.2.2</x:v>
      </x:c>
      <x:c r="C3" s="8" t="str">
        <x:v>Proportion of men, women and children of all ages living in poverty in all it...</x:v>
      </x:c>
      <x:c r="D3" s="8" t="str">
        <x:v>SI_POV_NMPI</x:v>
      </x:c>
      <x:c r="E3" s="8" t="str">
        <x:v>Proportion of population living in poverty in all its dimensions according to...</x:v>
      </x:c>
      <x:c r="F3" s="8" t="str">
        <x:v>IX</x:v>
      </x:c>
      <x:c r="G3" s="8" t="str">
        <x:v>EICV and Census MPI Report, NISR</x:v>
      </x:c>
      <x:c r="H3" s="8" t="n">
        <x:v>2024</x:v>
      </x:c>
      <x:c r="I3" s="8" t="n">
        <x:v>0.136</x:v>
      </x:c>
      <x:c r="J3" s="8" t="str">
        <x:v>EICV</x:v>
      </x:c>
      <x:c r="K3" s="8" t="str">
        <x:v>EICV7 Multidimensional Poverty Thematic Report</x:v>
      </x:c>
      <x:c r="L3" s="8" t="n">
        <x:v>2025</x:v>
      </x:c>
      <x:c r="M3" s="8" t="str">
        <x:v>PDF</x:v>
      </x:c>
      <x:c r="N3" s="8" t="str">
        <x:v>https://statistics.gov.rw/data-sources/surveys/EICV/integrated-household-living-conditions-survey-7-eicv-7/eicv7-thematic-report-multidimensional-poverty</x:v>
      </x:c>
      <x:c r="O3" s="8" t="str">
        <x:v>p. 42</x:v>
      </x:c>
      <x:c r="P3" s="8" t="str">
        <x:v>Table B.5</x:v>
      </x:c>
      <x:c r="Q3" s="8" t="str">
        <x:v>Incidence, Intensity and MPI, by area and province (k=33.3%)</x:v>
      </x:c>
      <x:c r="R3" s="8" t="str">
        <x:v>MPI (M0)</x:v>
      </x:c>
      <x:c r="S3" s="8" t="str">
        <x:v>National</x:v>
      </x:c>
      <x:c r="T3" s="8" t="str">
        <x:v>MPI (M0)</x:v>
      </x:c>
      <x:c r="U3" s="8" t="str">
        <x:v>RW/National</x:v>
      </x:c>
      <x:c r="V3" s="8" t="str">
        <x:v>Total</x:v>
      </x:c>
      <x:c r="W3" s="8" t="str">
        <x:v>PDF table extraction</x:v>
      </x:c>
      <x:c r="X3" s="8" t="str">
        <x:v>High</x:v>
      </x:c>
      <x:c r="Y3" s="8" t="str">
        <x:v>Ready</x:v>
      </x:c>
      <x:c r="Z3" s="8" t="str">
        <x:v>Source checked</x:v>
      </x:c>
      <x:c r="AA3" s="8" t="str">
        <x:v>Corrected from the earlier incorrect Table 9.4 reference.</x:v>
      </x:c>
    </x:row>
    <x:row r="4" ht="52.79999923706055" hidden="0" customHeight="1">
      <x:c r="A4" s="8" t="str">
        <x:v>MAP-003</x:v>
      </x:c>
      <x:c r="B4" s="8" t="str">
        <x:v>2.1.1</x:v>
      </x:c>
      <x:c r="C4" s="8" t="str">
        <x:v>Prevalence of undernourishment</x:v>
      </x:c>
      <x:c r="D4" s="8" t="str">
        <x:v>SN_ITK_DEFC</x:v>
      </x:c>
      <x:c r="E4" s="8" t="str">
        <x:v>Percentage of food insecure households</x:v>
      </x:c>
      <x:c r="F4" s="8" t="str">
        <x:v>PT</x:v>
      </x:c>
      <x:c r="G4" s="8" t="str">
        <x:v>NISR, Food Balance Sheets (FBS)</x:v>
      </x:c>
      <x:c r="H4" s="8" t="n">
        <x:v>2024</x:v>
      </x:c>
      <x:c r="I4" s="8" t="n">
        <x:v>31.3</x:v>
      </x:c>
      <x:c r="J4" s="8" t="str">
        <x:v>Food Balance Sheets</x:v>
      </x:c>
      <x:c r="K4" s="8" t="str">
        <x:v>Rwanda Food Balance Sheets 2023–2024</x:v>
      </x:c>
      <x:c r="L4" s="8" t="n">
        <x:v>2025</x:v>
      </x:c>
      <x:c r="M4" s="8" t="str">
        <x:v>PDF</x:v>
      </x:c>
      <x:c r="N4" s="8" t="str">
        <x:v>https://www.statistics.gov.rw/sites/default/files/documents/2025-09/Rwanda_Food_Balace%20Sheet_2023_24_.pdf</x:v>
      </x:c>
      <x:c r="O4" s="8" t="str">
        <x:v>p. 20</x:v>
      </x:c>
      <x:c r="P4" s="8" t="str">
        <x:v>Table 14</x:v>
      </x:c>
      <x:c r="Q4" s="8" t="str">
        <x:v>Prevalence of Undernourishment</x:v>
      </x:c>
      <x:c r="R4" s="8" t="str">
        <x:v>PoU (%)</x:v>
      </x:c>
      <x:c r="S4" s="8" t="str">
        <x:v>PoU (%)</x:v>
      </x:c>
      <x:c r="T4" s="8" t="str">
        <x:v>2024</x:v>
      </x:c>
      <x:c r="U4" s="8" t="str">
        <x:v>RW/National</x:v>
      </x:c>
      <x:c r="V4" s="8" t="str">
        <x:v>Total</x:v>
      </x:c>
      <x:c r="W4" s="8" t="str">
        <x:v>PDF table extraction</x:v>
      </x:c>
      <x:c r="X4" s="8" t="str">
        <x:v>High</x:v>
      </x:c>
      <x:c r="Y4" s="8" t="str">
        <x:v>Ready</x:v>
      </x:c>
      <x:c r="Z4" s="8" t="str">
        <x:v>Source checked</x:v>
      </x:c>
      <x:c r="AA4" s="8" t="str">
        <x:v>National 2024 value is 31.3%.</x:v>
      </x:c>
    </x:row>
    <x:row r="5" ht="39.599998474121094" hidden="0" customHeight="1">
      <x:c r="A5" s="8" t="str">
        <x:v>MAP-004</x:v>
      </x:c>
      <x:c r="B5" s="8" t="str">
        <x:v>2.1.2</x:v>
      </x:c>
      <x:c r="C5" s="8" t="str">
        <x:v>Prevalence of moderate or severe food insecurity in the population, based on ...</x:v>
      </x:c>
      <x:c r="D5" s="8" t="str">
        <x:v>_L_RW_020102_1</x:v>
      </x:c>
      <x:c r="E5" s="8" t="str">
        <x:v>Moderately food insecure based on CARI Method</x:v>
      </x:c>
      <x:c r="F5" s="8" t="str">
        <x:v>PT</x:v>
      </x:c>
      <x:c r="G5" s="8" t="str">
        <x:v>CFSVA, NISR, MINAGRI</x:v>
      </x:c>
      <x:c r="H5" s="8" t="n">
        <x:v>2024</x:v>
      </x:c>
      <x:c r="I5" s="8" t="n">
        <x:v>16</x:v>
      </x:c>
      <x:c r="J5" s="8" t="str">
        <x:v>Other NISR</x:v>
      </x:c>
      <x:c r="K5" s="8" t="str">
        <x:v>Rwanda Comprehensive Food Security and Vulnerability Analysis (CFSVA) 2024</x:v>
      </x:c>
      <x:c r="L5" s="8" t="n">
        <x:v>2025</x:v>
      </x:c>
      <x:c r="M5" s="8" t="str">
        <x:v>PDF</x:v>
      </x:c>
      <x:c r="N5" s="8" t="str">
        <x:v>https://www.statistics.gov.rw/sites/default/files/documents/2025-07/Rwanda%20CFSVA%202024.pdf</x:v>
      </x:c>
      <x:c r="O5" s="8" t="str">
        <x:v>p. 81</x:v>
      </x:c>
      <x:c r="P5" s="8" t="str">
        <x:v>Table 9.2</x:v>
      </x:c>
      <x:c r="Q5" s="8" t="str">
        <x:v>CARI console for 2021 and 2024</x:v>
      </x:c>
      <x:c r="R5" s="8" t="str">
        <x:v>Moderately food insecure</x:v>
      </x:c>
      <x:c r="S5" s="8" t="str">
        <x:v>CARI 2024</x:v>
      </x:c>
      <x:c r="T5" s="8" t="str">
        <x:v>Moderately food insecure</x:v>
      </x:c>
      <x:c r="U5" s="8" t="str">
        <x:v>RW/National</x:v>
      </x:c>
      <x:c r="V5" s="8" t="str">
        <x:v>Total</x:v>
      </x:c>
      <x:c r="W5" s="8" t="str">
        <x:v>PDF table extraction</x:v>
      </x:c>
      <x:c r="X5" s="8" t="str">
        <x:v>High</x:v>
      </x:c>
      <x:c r="Y5" s="8" t="str">
        <x:v>Ready</x:v>
      </x:c>
      <x:c r="Z5" s="8" t="str">
        <x:v>Source checked</x:v>
      </x:c>
      <x:c r="AA5" s="8" t="str">
        <x:v>Use the CARI classification row, not FCS alone.</x:v>
      </x:c>
    </x:row>
    <x:row r="6" ht="39.599998474121094" hidden="0" customHeight="1">
      <x:c r="A6" s="8" t="str">
        <x:v>MAP-005</x:v>
      </x:c>
      <x:c r="B6" s="8" t="str">
        <x:v>2.2.1</x:v>
      </x:c>
      <x:c r="C6" s="8" t="str">
        <x:v>Prevalence of stunting (height for age &lt;-2 standard deviation from the median...</x:v>
      </x:c>
      <x:c r="D6" s="8" t="str">
        <x:v>SH_STA_STNT</x:v>
      </x:c>
      <x:c r="E6" s="8" t="str">
        <x:v>Proportion of children moderately or severely stunted</x:v>
      </x:c>
      <x:c r="F6" s="8" t="str">
        <x:v>PT</x:v>
      </x:c>
      <x:c r="G6" s="8" t="str">
        <x:v>DHS, NISR</x:v>
      </x:c>
      <x:c r="H6" s="8" t="n">
        <x:v>2024</x:v>
      </x:c>
      <x:c r="I6" s="8" t="n">
        <x:v>27</x:v>
      </x:c>
      <x:c r="J6" s="8" t="str">
        <x:v>DHS</x:v>
      </x:c>
      <x:c r="K6" s="8" t="str">
        <x:v>Rwanda DHS 2025 Final Report</x:v>
      </x:c>
      <x:c r="L6" s="8" t="n">
        <x:v>2026</x:v>
      </x:c>
      <x:c r="M6" s="8" t="str">
        <x:v>PDF</x:v>
      </x:c>
      <x:c r="N6" s="8" t="str">
        <x:v>https://statistics.gov.rw/sites/default/files/documents/2026-06/Rwanda-DHS-2025-Final-Report.pdf</x:v>
      </x:c>
      <x:c r="O6" s="8" t="str">
        <x:v>Nutrition chapter</x:v>
      </x:c>
      <x:c r="P6" s="8" t="str">
        <x:v>Figure/Table—nutrition trend</x:v>
      </x:c>
      <x:c r="Q6" s="8" t="str">
        <x:v>Trends in nutritional status of children</x:v>
      </x:c>
      <x:c r="R6" s="8" t="str">
        <x:v>Stunted</x:v>
      </x:c>
      <x:c r="S6" s="8" t="str">
        <x:v>Total</x:v>
      </x:c>
      <x:c r="T6" s="8" t="str">
        <x:v>2025 survey</x:v>
      </x:c>
      <x:c r="U6" s="8" t="str">
        <x:v>RW/National</x:v>
      </x:c>
      <x:c r="V6" s="8" t="str">
        <x:v>Total</x:v>
      </x:c>
      <x:c r="W6" s="8" t="str">
        <x:v>PDF table extraction</x:v>
      </x:c>
      <x:c r="X6" s="8" t="str">
        <x:v>Medium</x:v>
      </x:c>
      <x:c r="Y6" s="8" t="str">
        <x:v>Needs Review</x:v>
      </x:c>
      <x:c r="Z6" s="8" t="str">
        <x:v>Pending NISR reviewer</x:v>
      </x:c>
      <x:c r="AA6" s="8" t="str">
        <x:v>Dashboard labels the latest period as 2024; confirm whether it should be displayed as 2025 survey year.</x:v>
      </x:c>
    </x:row>
    <x:row r="7" ht="39.599998474121094" hidden="0" customHeight="1">
      <x:c r="A7" s="8" t="str">
        <x:v>MAP-006</x:v>
      </x:c>
      <x:c r="B7" s="8" t="str">
        <x:v>2.2.2</x:v>
      </x:c>
      <x:c r="C7" s="8" t="str">
        <x:v>Prevalence of malnutrition (weight for height &gt;+2 or &lt;-2 standard deviation f...</x:v>
      </x:c>
      <x:c r="D7" s="8" t="str">
        <x:v>SH_STA_WAST</x:v>
      </x:c>
      <x:c r="E7" s="8" t="str">
        <x:v>Proportion of children moderately or severely wasted</x:v>
      </x:c>
      <x:c r="F7" s="8" t="str">
        <x:v>PT</x:v>
      </x:c>
      <x:c r="G7" s="8" t="str">
        <x:v>DHS, NISR</x:v>
      </x:c>
      <x:c r="H7" s="8" t="n">
        <x:v>2024</x:v>
      </x:c>
      <x:c r="I7" s="8" t="n">
        <x:v>5</x:v>
      </x:c>
      <x:c r="J7" s="8" t="str">
        <x:v>DHS</x:v>
      </x:c>
      <x:c r="K7" s="8" t="str">
        <x:v>Rwanda DHS 2025 Final Report</x:v>
      </x:c>
      <x:c r="L7" s="8" t="n">
        <x:v>2026</x:v>
      </x:c>
      <x:c r="M7" s="8" t="str">
        <x:v>PDF</x:v>
      </x:c>
      <x:c r="N7" s="8" t="str">
        <x:v>https://statistics.gov.rw/sites/default/files/documents/2026-06/Rwanda-DHS-2025-Final-Report.pdf</x:v>
      </x:c>
      <x:c r="O7" s="8" t="str">
        <x:v>Nutrition chapter</x:v>
      </x:c>
      <x:c r="P7" s="8" t="str">
        <x:v>Figure/Table—nutrition trend</x:v>
      </x:c>
      <x:c r="Q7" s="8" t="str">
        <x:v>Trends in nutritional status of children</x:v>
      </x:c>
      <x:c r="R7" s="8" t="str">
        <x:v>Wasted</x:v>
      </x:c>
      <x:c r="S7" s="8" t="str">
        <x:v>Total</x:v>
      </x:c>
      <x:c r="T7" s="8" t="str">
        <x:v>2025 survey</x:v>
      </x:c>
      <x:c r="U7" s="8" t="str">
        <x:v>RW/National</x:v>
      </x:c>
      <x:c r="V7" s="8" t="str">
        <x:v>Total</x:v>
      </x:c>
      <x:c r="W7" s="8" t="str">
        <x:v>PDF table extraction</x:v>
      </x:c>
      <x:c r="X7" s="8" t="str">
        <x:v>Medium</x:v>
      </x:c>
      <x:c r="Y7" s="8" t="str">
        <x:v>Needs Review</x:v>
      </x:c>
      <x:c r="Z7" s="8" t="str">
        <x:v>Pending NISR reviewer</x:v>
      </x:c>
      <x:c r="AA7" s="8" t="str">
        <x:v>Dashboard labels the latest period as 2024; confirm year convention.</x:v>
      </x:c>
    </x:row>
    <x:row r="8" ht="39.599998474121094" hidden="0" customHeight="1">
      <x:c r="A8" s="8" t="str">
        <x:v>MAP-007</x:v>
      </x:c>
      <x:c r="B8" s="8" t="str">
        <x:v>3.1.1</x:v>
      </x:c>
      <x:c r="C8" s="8" t="str">
        <x:v>Maternal mortality ratio</x:v>
      </x:c>
      <x:c r="D8" s="8" t="str">
        <x:v>SH_STA_MORT</x:v>
      </x:c>
      <x:c r="E8" s="8" t="str">
        <x:v>Maternal mortality ratio</x:v>
      </x:c>
      <x:c r="F8" s="8" t="str">
        <x:v>PER_100000_LIVE_BIRTHS</x:v>
      </x:c>
      <x:c r="G8" s="8" t="str">
        <x:v>DHS, NISR</x:v>
      </x:c>
      <x:c r="H8" s="8" t="n">
        <x:v>2024</x:v>
      </x:c>
      <x:c r="I8" s="8" t="n">
        <x:v>149</x:v>
      </x:c>
      <x:c r="J8" s="8" t="str">
        <x:v>DHS</x:v>
      </x:c>
      <x:c r="K8" s="8" t="str">
        <x:v>Rwanda DHS 2025 Final Report</x:v>
      </x:c>
      <x:c r="L8" s="8" t="n">
        <x:v>2026</x:v>
      </x:c>
      <x:c r="M8" s="8" t="str">
        <x:v>PDF</x:v>
      </x:c>
      <x:c r="N8" s="8" t="str">
        <x:v>https://statistics.gov.rw/sites/default/files/documents/2026-06/Rwanda-DHS-2025-Final-Report.pdf</x:v>
      </x:c>
      <x:c r="O8" s="8" t="str">
        <x:v>Maternal mortality chapter</x:v>
      </x:c>
      <x:c r="P8" s="8" t="str">
        <x:v>Maternal mortality trend</x:v>
      </x:c>
      <x:c r="Q8" s="8" t="str">
        <x:v>Maternal mortality ratio</x:v>
      </x:c>
      <x:c r="R8" s="8" t="str">
        <x:v>Maternal mortality ratio</x:v>
      </x:c>
      <x:c r="S8" s="8" t="str">
        <x:v>Total</x:v>
      </x:c>
      <x:c r="T8" s="8" t="str">
        <x:v>0–4 years before survey</x:v>
      </x:c>
      <x:c r="U8" s="8" t="str">
        <x:v>RW/National</x:v>
      </x:c>
      <x:c r="V8" s="8" t="str">
        <x:v>Total</x:v>
      </x:c>
      <x:c r="W8" s="8" t="str">
        <x:v>PDF table extraction</x:v>
      </x:c>
      <x:c r="X8" s="8" t="str">
        <x:v>Medium</x:v>
      </x:c>
      <x:c r="Y8" s="8" t="str">
        <x:v>Needs Review</x:v>
      </x:c>
      <x:c r="Z8" s="8" t="str">
        <x:v>Pending NISR reviewer</x:v>
      </x:c>
      <x:c r="AA8" s="8" t="str">
        <x:v>Value is a five-year retrospective estimate; confirm dashboard year assignment.</x:v>
      </x:c>
    </x:row>
    <x:row r="9" ht="39.599998474121094" hidden="0" customHeight="1">
      <x:c r="A9" s="8" t="str">
        <x:v>MAP-008</x:v>
      </x:c>
      <x:c r="B9" s="8" t="str">
        <x:v>3.1.2</x:v>
      </x:c>
      <x:c r="C9" s="8" t="str">
        <x:v>Proportion of births attended by skilled health personnel</x:v>
      </x:c>
      <x:c r="D9" s="8" t="str">
        <x:v>SH_STA_BRTC</x:v>
      </x:c>
      <x:c r="E9" s="8" t="str">
        <x:v>Proportion of births attended by skilled health personnel</x:v>
      </x:c>
      <x:c r="F9" s="8" t="str">
        <x:v>PT</x:v>
      </x:c>
      <x:c r="G9" s="8" t="str">
        <x:v>DHS, NISR</x:v>
      </x:c>
      <x:c r="H9" s="8" t="n">
        <x:v>2024</x:v>
      </x:c>
      <x:c r="I9" s="8" t="n">
        <x:v>98</x:v>
      </x:c>
      <x:c r="J9" s="8" t="str">
        <x:v>DHS</x:v>
      </x:c>
      <x:c r="K9" s="8" t="str">
        <x:v>Rwanda DHS 2025 Final Report</x:v>
      </x:c>
      <x:c r="L9" s="8" t="n">
        <x:v>2026</x:v>
      </x:c>
      <x:c r="M9" s="8" t="str">
        <x:v>PDF</x:v>
      </x:c>
      <x:c r="N9" s="8" t="str">
        <x:v>https://statistics.gov.rw/sites/default/files/documents/2026-06/Rwanda-DHS-2025-Final-Report.pdf</x:v>
      </x:c>
      <x:c r="O9" s="8" t="str">
        <x:v>Maternal health chapter</x:v>
      </x:c>
      <x:c r="P9" s="8" t="str">
        <x:v>Delivery chart/table</x:v>
      </x:c>
      <x:c r="Q9" s="8" t="str">
        <x:v>Delivery care</x:v>
      </x:c>
      <x:c r="R9" s="8" t="str">
        <x:v>Birth attended by skilled provider</x:v>
      </x:c>
      <x:c r="S9" s="8" t="str">
        <x:v>Total</x:v>
      </x:c>
      <x:c r="T9" s="8" t="str">
        <x:v>Skilled provider</x:v>
      </x:c>
      <x:c r="U9" s="8" t="str">
        <x:v>RW/National</x:v>
      </x:c>
      <x:c r="V9" s="8" t="str">
        <x:v>Total</x:v>
      </x:c>
      <x:c r="W9" s="8" t="str">
        <x:v>PDF table extraction</x:v>
      </x:c>
      <x:c r="X9" s="8" t="str">
        <x:v>Medium</x:v>
      </x:c>
      <x:c r="Y9" s="8" t="str">
        <x:v>Needs Review</x:v>
      </x:c>
      <x:c r="Z9" s="8" t="str">
        <x:v>Pending NISR reviewer</x:v>
      </x:c>
      <x:c r="AA9" s="8" t="str">
        <x:v>Confirm exact final-report table number before coding automated extraction.</x:v>
      </x:c>
    </x:row>
    <x:row r="10" ht="39.599998474121094" hidden="0" customHeight="1">
      <x:c r="A10" s="8" t="str">
        <x:v>MAP-009</x:v>
      </x:c>
      <x:c r="B10" s="8" t="str">
        <x:v>3.2.1</x:v>
      </x:c>
      <x:c r="C10" s="8" t="str">
        <x:v>Under-five mortality rate</x:v>
      </x:c>
      <x:c r="D10" s="8" t="str">
        <x:v>SH_DYN_MORT</x:v>
      </x:c>
      <x:c r="E10" s="8" t="str">
        <x:v>Under-five mortality rate</x:v>
      </x:c>
      <x:c r="F10" s="8" t="str">
        <x:v>PER_1000_LIVE_BIRTHS</x:v>
      </x:c>
      <x:c r="G10" s="8" t="str">
        <x:v>DHS, NISR</x:v>
      </x:c>
      <x:c r="H10" s="8" t="n">
        <x:v>2024</x:v>
      </x:c>
      <x:c r="I10" s="8" t="n">
        <x:v>36</x:v>
      </x:c>
      <x:c r="J10" s="8" t="str">
        <x:v>DHS</x:v>
      </x:c>
      <x:c r="K10" s="8" t="str">
        <x:v>Rwanda DHS 2025 Final Report</x:v>
      </x:c>
      <x:c r="L10" s="8" t="n">
        <x:v>2026</x:v>
      </x:c>
      <x:c r="M10" s="8" t="str">
        <x:v>PDF</x:v>
      </x:c>
      <x:c r="N10" s="8" t="str">
        <x:v>https://statistics.gov.rw/sites/default/files/documents/2026-06/Rwanda-DHS-2025-Final-Report.pdf</x:v>
      </x:c>
      <x:c r="O10" s="8" t="str">
        <x:v>Child mortality chapter</x:v>
      </x:c>
      <x:c r="P10" s="8" t="str">
        <x:v>Childhood mortality rates</x:v>
      </x:c>
      <x:c r="Q10" s="8" t="str">
        <x:v>Childhood mortality rates</x:v>
      </x:c>
      <x:c r="R10" s="8" t="str">
        <x:v>Under-five mortality</x:v>
      </x:c>
      <x:c r="S10" s="8" t="str">
        <x:v>Total</x:v>
      </x:c>
      <x:c r="T10" s="8" t="str">
        <x:v>Deaths per 1,000</x:v>
      </x:c>
      <x:c r="U10" s="8" t="str">
        <x:v>RW/National</x:v>
      </x:c>
      <x:c r="V10" s="8" t="str">
        <x:v>Total</x:v>
      </x:c>
      <x:c r="W10" s="8" t="str">
        <x:v>PDF table extraction</x:v>
      </x:c>
      <x:c r="X10" s="8" t="str">
        <x:v>Medium</x:v>
      </x:c>
      <x:c r="Y10" s="8" t="str">
        <x:v>Needs Review</x:v>
      </x:c>
      <x:c r="Z10" s="8" t="str">
        <x:v>Pending NISR reviewer</x:v>
      </x:c>
      <x:c r="AA10" s="8" t="str">
        <x:v>Five-year retrospective estimate; confirm dashboard year convention.</x:v>
      </x:c>
    </x:row>
    <x:row r="11" ht="39.599998474121094" hidden="0" customHeight="1">
      <x:c r="A11" s="8" t="str">
        <x:v>MAP-010</x:v>
      </x:c>
      <x:c r="B11" s="8" t="str">
        <x:v>3.2.2</x:v>
      </x:c>
      <x:c r="C11" s="8" t="str">
        <x:v>Neonatal mortality rate</x:v>
      </x:c>
      <x:c r="D11" s="8" t="str">
        <x:v>SH_DYN_NMRT</x:v>
      </x:c>
      <x:c r="E11" s="8" t="str">
        <x:v>Neonatal mortality rate</x:v>
      </x:c>
      <x:c r="F11" s="8" t="str">
        <x:v>PER_1000_LIVE_BIRTHS</x:v>
      </x:c>
      <x:c r="G11" s="8" t="str">
        <x:v>DHS, NISR</x:v>
      </x:c>
      <x:c r="H11" s="8" t="n">
        <x:v>2024</x:v>
      </x:c>
      <x:c r="I11" s="8" t="n">
        <x:v>17</x:v>
      </x:c>
      <x:c r="J11" s="8" t="str">
        <x:v>DHS</x:v>
      </x:c>
      <x:c r="K11" s="8" t="str">
        <x:v>Rwanda DHS 2025 Final Report</x:v>
      </x:c>
      <x:c r="L11" s="8" t="n">
        <x:v>2026</x:v>
      </x:c>
      <x:c r="M11" s="8" t="str">
        <x:v>PDF</x:v>
      </x:c>
      <x:c r="N11" s="8" t="str">
        <x:v>https://statistics.gov.rw/sites/default/files/documents/2026-06/Rwanda-DHS-2025-Final-Report.pdf</x:v>
      </x:c>
      <x:c r="O11" s="8" t="str">
        <x:v>Child mortality chapter</x:v>
      </x:c>
      <x:c r="P11" s="8" t="str">
        <x:v>Childhood mortality rates</x:v>
      </x:c>
      <x:c r="Q11" s="8" t="str">
        <x:v>Childhood mortality rates</x:v>
      </x:c>
      <x:c r="R11" s="8" t="str">
        <x:v>Neonatal mortality</x:v>
      </x:c>
      <x:c r="S11" s="8" t="str">
        <x:v>Total</x:v>
      </x:c>
      <x:c r="T11" s="8" t="str">
        <x:v>Deaths per 1,000</x:v>
      </x:c>
      <x:c r="U11" s="8" t="str">
        <x:v>RW/National</x:v>
      </x:c>
      <x:c r="V11" s="8" t="str">
        <x:v>Total</x:v>
      </x:c>
      <x:c r="W11" s="8" t="str">
        <x:v>PDF table extraction</x:v>
      </x:c>
      <x:c r="X11" s="8" t="str">
        <x:v>Medium</x:v>
      </x:c>
      <x:c r="Y11" s="8" t="str">
        <x:v>Needs Review</x:v>
      </x:c>
      <x:c r="Z11" s="8" t="str">
        <x:v>Pending NISR reviewer</x:v>
      </x:c>
      <x:c r="AA11" s="8" t="str">
        <x:v>Five-year retrospective estimate; confirm dashboard year convention.</x:v>
      </x:c>
    </x:row>
    <x:row r="12" ht="39.599998474121094" hidden="0" customHeight="1">
      <x:c r="A12" s="8" t="str">
        <x:v>MAP-011</x:v>
      </x:c>
      <x:c r="B12" s="8" t="str">
        <x:v>3.6.1</x:v>
      </x:c>
      <x:c r="C12" s="8" t="str">
        <x:v>Death rate due to road traffic injuries</x:v>
      </x:c>
      <x:c r="D12" s="8" t="str">
        <x:v>SH_STA_TRAF</x:v>
      </x:c>
      <x:c r="E12" s="8" t="str">
        <x:v>Death rate due to road traffic injuries</x:v>
      </x:c>
      <x:c r="F12" s="8" t="str">
        <x:v>PER_100000_POP</x:v>
      </x:c>
      <x:c r="G12" s="8" t="str">
        <x:v>NISR, Statistical Yearbook</x:v>
      </x:c>
      <x:c r="H12" s="8" t="n">
        <x:v>2024</x:v>
      </x:c>
      <x:c r="I12" s="8" t="n">
        <x:v>5.5</x:v>
      </x:c>
      <x:c r="J12" s="8" t="str">
        <x:v>Other NISR</x:v>
      </x:c>
      <x:c r="K12" s="8" t="str">
        <x:v>Rwanda Statistical Yearbook 2024</x:v>
      </x:c>
      <x:c r="L12" s="8" t="n">
        <x:v>2024</x:v>
      </x:c>
      <x:c r="M12" s="8" t="str">
        <x:v>PDF</x:v>
      </x:c>
      <x:c r="N12" s="8" t="str">
        <x:v>https://statistics.gov.rw/sites/default/files/documents/2025-02/Statistical_Year_Book_2024.pdf</x:v>
      </x:c>
      <x:c r="O12" s="8" t="str">
        <x:v>p. 148</x:v>
      </x:c>
      <x:c r="P12" s="8" t="str">
        <x:v>Table 14.2.8</x:v>
      </x:c>
      <x:c r="Q12" s="8" t="str">
        <x:v>Death’s rate due to road traffic injuries</x:v>
      </x:c>
      <x:c r="R12" s="8" t="str">
        <x:v>Rate due to road accidents</x:v>
      </x:c>
      <x:c r="S12" s="8" t="str">
        <x:v>2022</x:v>
      </x:c>
      <x:c r="T12" s="8" t="str">
        <x:v>Rate due to road accidents</x:v>
      </x:c>
      <x:c r="U12" s="8" t="str">
        <x:v>RW/National</x:v>
      </x:c>
      <x:c r="V12" s="8" t="str">
        <x:v>Total</x:v>
      </x:c>
      <x:c r="W12" s="8" t="str">
        <x:v>PDF table extraction</x:v>
      </x:c>
      <x:c r="X12" s="8" t="str">
        <x:v>High</x:v>
      </x:c>
      <x:c r="Y12" s="8" t="str">
        <x:v>Ready</x:v>
      </x:c>
      <x:c r="Z12" s="8" t="str">
        <x:v>Source checked</x:v>
      </x:c>
      <x:c r="AA12" s="8" t="str">
        <x:v>The verified table ends at 2022; the 2024 dashboard value needs a newer police/yearbook source.</x:v>
      </x:c>
    </x:row>
    <x:row r="13" ht="39.599998474121094" hidden="0" customHeight="1">
      <x:c r="A13" s="8" t="str">
        <x:v>MAP-012</x:v>
      </x:c>
      <x:c r="B13" s="8" t="str">
        <x:v>3.7.1</x:v>
      </x:c>
      <x:c r="C13" s="8" t="str">
        <x:v>Proportion of women of reproductive age (aged 15-49 years) who have their nee...</x:v>
      </x:c>
      <x:c r="D13" s="8" t="str">
        <x:v>SH_FPL_MTMM</x:v>
      </x:c>
      <x:c r="E13" s="8" t="str">
        <x:v>Proportion of women married or in a union of reproductive age (aged 15-49 yea...</x:v>
      </x:c>
      <x:c r="F13" s="8" t="str">
        <x:v>PT</x:v>
      </x:c>
      <x:c r="G13" s="8" t="str">
        <x:v>DHS, NISR</x:v>
      </x:c>
      <x:c r="H13" s="8" t="n">
        <x:v>2024</x:v>
      </x:c>
      <x:c r="I13" s="8" t="n">
        <x:v>64</x:v>
      </x:c>
      <x:c r="J13" s="8" t="str">
        <x:v>DHS</x:v>
      </x:c>
      <x:c r="K13" s="8" t="str">
        <x:v>Rwanda DHS 2025 Final Report</x:v>
      </x:c>
      <x:c r="L13" s="8" t="n">
        <x:v>2026</x:v>
      </x:c>
      <x:c r="M13" s="8" t="str">
        <x:v>PDF</x:v>
      </x:c>
      <x:c r="N13" s="8" t="str">
        <x:v>https://statistics.gov.rw/sites/default/files/documents/2026-06/Rwanda-DHS-2025-Final-Report.pdf</x:v>
      </x:c>
      <x:c r="O13" s="8" t="str">
        <x:v>Family planning chapter</x:v>
      </x:c>
      <x:c r="P13" s="8" t="str">
        <x:v>Demand satisfied chart/table</x:v>
      </x:c>
      <x:c r="Q13" s="8" t="str">
        <x:v>Use, need and demand for family planning</x:v>
      </x:c>
      <x:c r="R13" s="8" t="str">
        <x:v>Demand satisfied by modern methods</x:v>
      </x:c>
      <x:c r="S13" s="8" t="str">
        <x:v>Women in marital union 15–49</x:v>
      </x:c>
      <x:c r="T13" s="8" t="str">
        <x:v>Total</x:v>
      </x:c>
      <x:c r="U13" s="8" t="str">
        <x:v>RW/National</x:v>
      </x:c>
      <x:c r="V13" s="8" t="str">
        <x:v>Total</x:v>
      </x:c>
      <x:c r="W13" s="8" t="str">
        <x:v>PDF table extraction</x:v>
      </x:c>
      <x:c r="X13" s="8" t="str">
        <x:v>Medium</x:v>
      </x:c>
      <x:c r="Y13" s="8" t="str">
        <x:v>Needs Review</x:v>
      </x:c>
      <x:c r="Z13" s="8" t="str">
        <x:v>Pending NISR reviewer</x:v>
      </x:c>
      <x:c r="AA13" s="8" t="str">
        <x:v>Confirm whether dashboard uses all women or women in marital union.</x:v>
      </x:c>
    </x:row>
    <x:row r="14" ht="52.79999923706055" hidden="0" customHeight="1">
      <x:c r="A14" s="8" t="str">
        <x:v>MAP-013</x:v>
      </x:c>
      <x:c r="B14" s="8" t="str">
        <x:v>3.7.2</x:v>
      </x:c>
      <x:c r="C14" s="8" t="str">
        <x:v>Adolescent birth rate (aged 10-14 years; aged 15-19 years) per 1,000 women in...</x:v>
      </x:c>
      <x:c r="D14" s="8" t="str">
        <x:v>SP_DYN_ADKL</x:v>
      </x:c>
      <x:c r="E14" s="8" t="str">
        <x:v>Adolescent birth rate (per 1,000 women aged 15-19 years)</x:v>
      </x:c>
      <x:c r="F14" s="8" t="str">
        <x:v>PER_1000_POP</x:v>
      </x:c>
      <x:c r="G14" s="8" t="str">
        <x:v>DHS, NISR</x:v>
      </x:c>
      <x:c r="H14" s="8" t="n">
        <x:v>2024</x:v>
      </x:c>
      <x:c r="I14" s="8" t="n">
        <x:v>8</x:v>
      </x:c>
      <x:c r="J14" s="8" t="str">
        <x:v>DHS</x:v>
      </x:c>
      <x:c r="K14" s="8" t="str">
        <x:v>Rwanda DHS 2025 Final Report</x:v>
      </x:c>
      <x:c r="L14" s="8" t="n">
        <x:v>2026</x:v>
      </x:c>
      <x:c r="M14" s="8" t="str">
        <x:v>PDF</x:v>
      </x:c>
      <x:c r="N14" s="8" t="str">
        <x:v>https://statistics.gov.rw/sites/default/files/documents/2026-06/Rwanda-DHS-2025-Final-Report.pdf</x:v>
      </x:c>
      <x:c r="O14" s="8" t="str">
        <x:v>Fertility chapter</x:v>
      </x:c>
      <x:c r="P14" s="8" t="str">
        <x:v>Teenage pregnancy trend</x:v>
      </x:c>
      <x:c r="Q14" s="8" t="str">
        <x:v>Teenage pregnancy</x:v>
      </x:c>
      <x:c r="R14" s="8" t="str">
        <x:v>Ever pregnant</x:v>
      </x:c>
      <x:c r="S14" s="8" t="str">
        <x:v>Women 15–19</x:v>
      </x:c>
      <x:c r="T14" s="8" t="str">
        <x:v>Total</x:v>
      </x:c>
      <x:c r="U14" s="8" t="str">
        <x:v>RW/National</x:v>
      </x:c>
      <x:c r="V14" s="8" t="str">
        <x:v>Total</x:v>
      </x:c>
      <x:c r="W14" s="8" t="str">
        <x:v>PDF table extraction</x:v>
      </x:c>
      <x:c r="X14" s="8" t="str">
        <x:v>Medium</x:v>
      </x:c>
      <x:c r="Y14" s="8" t="str">
        <x:v>Needs Review</x:v>
      </x:c>
      <x:c r="Z14" s="8" t="str">
        <x:v>Pending NISR reviewer</x:v>
      </x:c>
      <x:c r="AA14" s="8" t="str">
        <x:v>Dashboard description says birth rate per 1,000 but stored value is a percentage ever pregnant; proxy definition must be approved.</x:v>
      </x:c>
    </x:row>
    <x:row r="15" ht="52.79999923706055" hidden="0" customHeight="1">
      <x:c r="A15" s="8" t="str">
        <x:v>MAP-014</x:v>
      </x:c>
      <x:c r="B15" s="8" t="str">
        <x:v>3.a.1</x:v>
      </x:c>
      <x:c r="C15" s="8" t="str">
        <x:v>Age-standardized prevalence of current tobacco use among persons aged 15 year...</x:v>
      </x:c>
      <x:c r="D15" s="8" t="str">
        <x:v>SH_PRV_SMOK</x:v>
      </x:c>
      <x:c r="E15" s="8" t="str">
        <x:v>Age-standardized prevalence of current tobacco use among persons aged 15 year...</x:v>
      </x:c>
      <x:c r="F15" s="8" t="str">
        <x:v>PT</x:v>
      </x:c>
      <x:c r="G15" s="8" t="str">
        <x:v>DHS, NISR</x:v>
      </x:c>
      <x:c r="H15" s="8" t="n">
        <x:v>2020</x:v>
      </x:c>
      <x:c r="I15" s="8" t="n">
        <x:v>3.9</x:v>
      </x:c>
      <x:c r="J15" s="8" t="str">
        <x:v>DHS</x:v>
      </x:c>
      <x:c r="K15" s="8" t="str">
        <x:v>Rwanda DHS 2019–20 Final Report</x:v>
      </x:c>
      <x:c r="L15" s="8" t="n">
        <x:v>2021</x:v>
      </x:c>
      <x:c r="M15" s="8" t="str">
        <x:v>PDF</x:v>
      </x:c>
      <x:c r="N15" s="8" t="str">
        <x:v>https://www.statistics.gov.rw/sites/default/files/documents/2025-01/Rwanda%20DHS%202019-20_FINAL%20REPORT_N.pdf</x:v>
      </x:c>
      <x:c r="O15" s="8" t="str">
        <x:v>pp. 57–58</x:v>
      </x:c>
      <x:c r="P15" s="8" t="str">
        <x:v>Tables 3.10.1–3.10.2</x:v>
      </x:c>
      <x:c r="Q15" s="8" t="str">
        <x:v>Tobacco smoking: Women and Men</x:v>
      </x:c>
      <x:c r="R15" s="8" t="str">
        <x:v>Any type of tobacco</x:v>
      </x:c>
      <x:c r="S15" s="8" t="str">
        <x:v>Total</x:v>
      </x:c>
      <x:c r="T15" s="8" t="str">
        <x:v>Sex-combined age-standardized value</x:v>
      </x:c>
      <x:c r="U15" s="8" t="str">
        <x:v>RW/National</x:v>
      </x:c>
      <x:c r="V15" s="8" t="str">
        <x:v>Total</x:v>
      </x:c>
      <x:c r="W15" s="8" t="str">
        <x:v>PDF table extraction</x:v>
      </x:c>
      <x:c r="X15" s="8" t="str">
        <x:v>High</x:v>
      </x:c>
      <x:c r="Y15" s="8" t="str">
        <x:v>Ready</x:v>
      </x:c>
      <x:c r="Z15" s="8" t="str">
        <x:v>Source checked</x:v>
      </x:c>
      <x:c r="AA15" s="8" t="str">
        <x:v>SDG summary reports 3.9%; calculation combines the sex-specific tables.</x:v>
      </x:c>
    </x:row>
    <x:row r="16" ht="52.79999923706055" hidden="0" customHeight="1">
      <x:c r="A16" s="8" t="str">
        <x:v>MAP-015</x:v>
      </x:c>
      <x:c r="B16" s="8" t="str">
        <x:v>4.2.1</x:v>
      </x:c>
      <x:c r="C16" s="8" t="str">
        <x:v>Proportion of children under 5 years of age who are developmentally on track ...</x:v>
      </x:c>
      <x:c r="D16" s="8" t="str">
        <x:v>SE_DEV_ONTRK</x:v>
      </x:c>
      <x:c r="E16" s="8" t="str">
        <x:v>Proportion of children aged 36-59 months who are developmentally on track in ...</x:v>
      </x:c>
      <x:c r="F16" s="8" t="str">
        <x:v>PT</x:v>
      </x:c>
      <x:c r="G16" s="8" t="str">
        <x:v>NISR,DHS2019/2020</x:v>
      </x:c>
      <x:c r="H16" s="8" t="n">
        <x:v>2020</x:v>
      </x:c>
      <x:c r="I16" s="8" t="n">
        <x:v>76</x:v>
      </x:c>
      <x:c r="J16" s="8" t="str">
        <x:v>DHS</x:v>
      </x:c>
      <x:c r="K16" s="8" t="str">
        <x:v>Rwanda DHS 2019–20 Final Report</x:v>
      </x:c>
      <x:c r="L16" s="8" t="n">
        <x:v>2021</x:v>
      </x:c>
      <x:c r="M16" s="8" t="str">
        <x:v>PDF</x:v>
      </x:c>
      <x:c r="N16" s="8" t="str">
        <x:v>https://www.statistics.gov.rw/sites/default/files/documents/2025-01/Rwanda%20DHS%202019-20_FINAL%20REPORT_N.pdf</x:v>
      </x:c>
      <x:c r="O16" s="8" t="str">
        <x:v>Early childhood development chapter</x:v>
      </x:c>
      <x:c r="P16" s="8" t="str">
        <x:v>ECDI table</x:v>
      </x:c>
      <x:c r="Q16" s="8" t="str">
        <x:v>Early Childhood Development Index</x:v>
      </x:c>
      <x:c r="R16" s="8" t="str">
        <x:v>Developmentally on track in at least three domains</x:v>
      </x:c>
      <x:c r="S16" s="8" t="str">
        <x:v>Children 36–59 months</x:v>
      </x:c>
      <x:c r="T16" s="8" t="str">
        <x:v>Total</x:v>
      </x:c>
      <x:c r="U16" s="8" t="str">
        <x:v>RW/National</x:v>
      </x:c>
      <x:c r="V16" s="8" t="str">
        <x:v>Total</x:v>
      </x:c>
      <x:c r="W16" s="8" t="str">
        <x:v>PDF table extraction</x:v>
      </x:c>
      <x:c r="X16" s="8" t="str">
        <x:v>Medium</x:v>
      </x:c>
      <x:c r="Y16" s="8" t="str">
        <x:v>Needs Review</x:v>
      </x:c>
      <x:c r="Z16" s="8" t="str">
        <x:v>Pending NISR reviewer</x:v>
      </x:c>
      <x:c r="AA16" s="8" t="str">
        <x:v>Exact table number should be confirmed in the final report before automation.</x:v>
      </x:c>
    </x:row>
    <x:row r="17" ht="39.599998474121094" hidden="0" customHeight="1">
      <x:c r="A17" s="8" t="str">
        <x:v>MAP-016</x:v>
      </x:c>
      <x:c r="B17" s="8" t="str">
        <x:v>4.4.1</x:v>
      </x:c>
      <x:c r="C17" s="8" t="str">
        <x:v>Proportion of youth and adults with information and communications technology...</x:v>
      </x:c>
      <x:c r="D17" s="8" t="str">
        <x:v>SE_ADT_ACTS</x:v>
      </x:c>
      <x:c r="E17" s="8" t="str">
        <x:v>Proportion of youth and adults with information and communications technology...</x:v>
      </x:c>
      <x:c r="F17" s="8" t="str">
        <x:v>PT</x:v>
      </x:c>
      <x:c r="G17" s="8" t="str">
        <x:v>EICV, NISR</x:v>
      </x:c>
      <x:c r="H17" s="8" t="n">
        <x:v>2024</x:v>
      </x:c>
      <x:c r="I17" s="8" t="n">
        <x:v>5.6</x:v>
      </x:c>
      <x:c r="J17" s="8" t="str">
        <x:v>EICV</x:v>
      </x:c>
      <x:c r="K17" s="8" t="str">
        <x:v>EICV7 Main Indicators Report 2023/24</x:v>
      </x:c>
      <x:c r="L17" s="8" t="n">
        <x:v>2025</x:v>
      </x:c>
      <x:c r="M17" s="8" t="str">
        <x:v>PDF</x:v>
      </x:c>
      <x:c r="N17" s="8" t="str">
        <x:v>https://statistics.gov.rw/sites/default/files/documents/2025-07/EICV7_Main%20Indicator%20Report.pdf</x:v>
      </x:c>
      <x:c r="O17" s="8" t="str">
        <x:v>p. 43</x:v>
      </x:c>
      <x:c r="P17" s="8" t="str">
        <x:v>Table 4.11</x:v>
      </x:c>
      <x:c r="Q17" s="8" t="str">
        <x:v>Individuals aged 10+ who used computer skills in the last three months</x:v>
      </x:c>
      <x:c r="R17" s="8" t="str">
        <x:v>Copying/moving a file or folder</x:v>
      </x:c>
      <x:c r="S17" s="8" t="str">
        <x:v>Rwanda</x:v>
      </x:c>
      <x:c r="T17" s="8" t="str">
        <x:v>Total</x:v>
      </x:c>
      <x:c r="U17" s="8" t="str">
        <x:v>RW/National</x:v>
      </x:c>
      <x:c r="V17" s="8" t="str">
        <x:v>Total</x:v>
      </x:c>
      <x:c r="W17" s="8" t="str">
        <x:v>PDF table extraction</x:v>
      </x:c>
      <x:c r="X17" s="8" t="str">
        <x:v>High</x:v>
      </x:c>
      <x:c r="Y17" s="8" t="str">
        <x:v>Ready</x:v>
      </x:c>
      <x:c r="Z17" s="8" t="str">
        <x:v>Source checked</x:v>
      </x:c>
      <x:c r="AA17" s="8" t="str">
        <x:v>Latest Data-sheet value is 2024, not 2020.</x:v>
      </x:c>
    </x:row>
    <x:row r="18" ht="39.599998474121094" hidden="0" customHeight="1">
      <x:c r="A18" s="8" t="str">
        <x:v>MAP-017</x:v>
      </x:c>
      <x:c r="B18" s="8" t="str">
        <x:v>4.5.1</x:v>
      </x:c>
      <x:c r="C18" s="8" t="str">
        <x:v>Parity indices (female/male, rural/urban, bottom/top wealth quantile and othe...</x:v>
      </x:c>
      <x:c r="D18" s="8" t="str">
        <x:v>_L_RW_040501_1</x:v>
      </x:c>
      <x:c r="E18" s="8" t="str">
        <x:v>Gender parity index for participation rate in formal and non-formal education...</x:v>
      </x:c>
      <x:c r="F18" s="8" t="str">
        <x:v>IX</x:v>
      </x:c>
      <x:c r="G18" s="8" t="str">
        <x:v>EICV, NISR</x:v>
      </x:c>
      <x:c r="H18" s="8" t="n">
        <x:v>2024</x:v>
      </x:c>
      <x:c r="I18" s="8" t="n">
        <x:v>1.02</x:v>
      </x:c>
      <x:c r="J18" s="8" t="str">
        <x:v>EICV</x:v>
      </x:c>
      <x:c r="K18" s="8" t="str">
        <x:v>EICV7 Main Indicators Report 2023/24</x:v>
      </x:c>
      <x:c r="L18" s="8" t="n">
        <x:v>2025</x:v>
      </x:c>
      <x:c r="M18" s="8" t="str">
        <x:v>PDF</x:v>
      </x:c>
      <x:c r="N18" s="8" t="str">
        <x:v>https://statistics.gov.rw/sites/default/files/documents/2025-07/EICV7_Main%20Indicator%20Report.pdf</x:v>
      </x:c>
      <x:c r="O18" s="8" t="str">
        <x:v>p. 44</x:v>
      </x:c>
      <x:c r="P18" s="8" t="str">
        <x:v>Table 4.12</x:v>
      </x:c>
      <x:c r="Q18" s="8" t="str">
        <x:v>Net and Gross Attendance Rates in primary school</x:v>
      </x:c>
      <x:c r="R18" s="8" t="str">
        <x:v>Gender Parity Index—primary NAR</x:v>
      </x:c>
      <x:c r="S18" s="8" t="str">
        <x:v>Rwanda</x:v>
      </x:c>
      <x:c r="T18" s="8" t="str">
        <x:v>Net attendance ratio: GPI</x:v>
      </x:c>
      <x:c r="U18" s="8" t="str">
        <x:v>RW/National</x:v>
      </x:c>
      <x:c r="V18" s="8" t="str">
        <x:v>Total</x:v>
      </x:c>
      <x:c r="W18" s="8" t="str">
        <x:v>PDF table extraction</x:v>
      </x:c>
      <x:c r="X18" s="8" t="str">
        <x:v>High</x:v>
      </x:c>
      <x:c r="Y18" s="8" t="str">
        <x:v>Ready</x:v>
      </x:c>
      <x:c r="Z18" s="8" t="str">
        <x:v>Source checked</x:v>
      </x:c>
      <x:c r="AA18" s="8" t="str">
        <x:v>Corrected from the earlier incorrect Table 7.3 reference; latest Data-sheet value is 2024.</x:v>
      </x:c>
    </x:row>
    <x:row r="19" ht="52.79999923706055" hidden="0" customHeight="1">
      <x:c r="A19" s="8" t="str">
        <x:v>MAP-018</x:v>
      </x:c>
      <x:c r="B19" s="8" t="str">
        <x:v>5.2.1</x:v>
      </x:c>
      <x:c r="C19" s="8" t="str">
        <x:v>Proportion of ever-partnered women and girls aged 15 years and older subjecte...</x:v>
      </x:c>
      <x:c r="D19" s="8" t="str">
        <x:v>VC_VAW_PHYV</x:v>
      </x:c>
      <x:c r="E19" s="8" t="str">
        <x:v>Proportion of ever-partnered women and girls subjected to physical violence b...</x:v>
      </x:c>
      <x:c r="F19" s="8" t="str">
        <x:v>PT</x:v>
      </x:c>
      <x:c r="G19" s="8" t="str">
        <x:v>DHS, NISR</x:v>
      </x:c>
      <x:c r="H19" s="8" t="n">
        <x:v>2020</x:v>
      </x:c>
      <x:c r="I19" s="8" t="n">
        <x:v>30</x:v>
      </x:c>
      <x:c r="J19" s="8" t="str">
        <x:v>DHS</x:v>
      </x:c>
      <x:c r="K19" s="8" t="str">
        <x:v>Rwanda DHS 2019–20 Final Report</x:v>
      </x:c>
      <x:c r="L19" s="8" t="n">
        <x:v>2021</x:v>
      </x:c>
      <x:c r="M19" s="8" t="str">
        <x:v>PDF</x:v>
      </x:c>
      <x:c r="N19" s="8" t="str">
        <x:v>https://www.statistics.gov.rw/sites/default/files/documents/2025-01/Rwanda%20DHS%202019-20_FINAL%20REPORT_N.pdf</x:v>
      </x:c>
      <x:c r="O19" s="8" t="str">
        <x:v>SDG summary p. xxviii / domestic violence chapter</x:v>
      </x:c>
      <x:c r="P19" s="8" t="str">
        <x:v>Table 16.9.1</x:v>
      </x:c>
      <x:c r="Q19" s="8" t="str">
        <x:v>Spousal violence by background characteristics</x:v>
      </x:c>
      <x:c r="R19" s="8" t="str">
        <x:v>Any physical, sexual or emotional violence</x:v>
      </x:c>
      <x:c r="S19" s="8" t="str">
        <x:v>Ever-partnered women 15–49</x:v>
      </x:c>
      <x:c r="T19" s="8" t="str">
        <x:v>Past 12 months</x:v>
      </x:c>
      <x:c r="U19" s="8" t="str">
        <x:v>RW/National</x:v>
      </x:c>
      <x:c r="V19" s="8" t="str">
        <x:v>Total</x:v>
      </x:c>
      <x:c r="W19" s="8" t="str">
        <x:v>PDF table extraction</x:v>
      </x:c>
      <x:c r="X19" s="8" t="str">
        <x:v>High</x:v>
      </x:c>
      <x:c r="Y19" s="8" t="str">
        <x:v>Ready</x:v>
      </x:c>
      <x:c r="Z19" s="8" t="str">
        <x:v>Source checked</x:v>
      </x:c>
      <x:c r="AA19" s="8" t="str">
        <x:v>The stored 30.0 is the combined violence indicator; physical violence alone is 19.7.</x:v>
      </x:c>
    </x:row>
    <x:row r="20" ht="52.79999923706055" hidden="0" customHeight="1">
      <x:c r="A20" s="8" t="str">
        <x:v>MAP-019</x:v>
      </x:c>
      <x:c r="B20" s="8" t="str">
        <x:v>5.2.2</x:v>
      </x:c>
      <x:c r="C20" s="8" t="str">
        <x:v>Proportion of women and girls aged 15 years and older subjected to sexual vio...</x:v>
      </x:c>
      <x:c r="D20" s="8" t="str">
        <x:v>VC_VAW_NONMARR</x:v>
      </x:c>
      <x:c r="E20" s="8" t="str">
        <x:v>Proportion of women and girls aged 15 years and older subjected to sexual vio...</x:v>
      </x:c>
      <x:c r="F20" s="8" t="str">
        <x:v>PT</x:v>
      </x:c>
      <x:c r="G20" s="8" t="str">
        <x:v>DHS, NISR</x:v>
      </x:c>
      <x:c r="H20" s="8" t="n">
        <x:v>2020</x:v>
      </x:c>
      <x:c r="I20" s="8" t="n">
        <x:v>8.6</x:v>
      </x:c>
      <x:c r="J20" s="8" t="str">
        <x:v>DHS</x:v>
      </x:c>
      <x:c r="K20" s="8" t="str">
        <x:v>Rwanda DHS 2019–20 Final Report</x:v>
      </x:c>
      <x:c r="L20" s="8" t="n">
        <x:v>2021</x:v>
      </x:c>
      <x:c r="M20" s="8" t="str">
        <x:v>PDF</x:v>
      </x:c>
      <x:c r="N20" s="8" t="str">
        <x:v>https://www.statistics.gov.rw/sites/default/files/documents/2025-01/Rwanda%20DHS%202019-20_FINAL%20REPORT_N.pdf</x:v>
      </x:c>
      <x:c r="O20" s="8" t="str">
        <x:v>Domestic violence chapter</x:v>
      </x:c>
      <x:c r="P20" s="8" t="str">
        <x:v>Relevant non-partner sexual violence table</x:v>
      </x:c>
      <x:c r="Q20" s="8" t="str">
        <x:v>Sexual violence by a non-partner</x:v>
      </x:c>
      <x:c r="R20" s="8" t="str">
        <x:v>Experienced sexual violence</x:v>
      </x:c>
      <x:c r="S20" s="8" t="str">
        <x:v>Women 15–49</x:v>
      </x:c>
      <x:c r="T20" s="8" t="str">
        <x:v>Past 12 months</x:v>
      </x:c>
      <x:c r="U20" s="8" t="str">
        <x:v>RW/National</x:v>
      </x:c>
      <x:c r="V20" s="8" t="str">
        <x:v>Total</x:v>
      </x:c>
      <x:c r="W20" s="8" t="str">
        <x:v>PDF table extraction</x:v>
      </x:c>
      <x:c r="X20" s="8" t="str">
        <x:v>Medium</x:v>
      </x:c>
      <x:c r="Y20" s="8" t="str">
        <x:v>Needs Review</x:v>
      </x:c>
      <x:c r="Z20" s="8" t="str">
        <x:v>Pending NISR reviewer</x:v>
      </x:c>
      <x:c r="AA20" s="8" t="str">
        <x:v>Confirm that 8.6 refers to non-partner violence in the past 12 months rather than ever experienced.</x:v>
      </x:c>
    </x:row>
    <x:row r="21" ht="52.79999923706055" hidden="0" customHeight="1">
      <x:c r="A21" s="8" t="str">
        <x:v>MAP-020</x:v>
      </x:c>
      <x:c r="B21" s="8" t="str">
        <x:v>5.3.1</x:v>
      </x:c>
      <x:c r="C21" s="8" t="str">
        <x:v>Proportion of women aged 20-24 years who were married or in a union before ag...</x:v>
      </x:c>
      <x:c r="D21" s="8" t="str">
        <x:v>SP_DYN_MRBF15</x:v>
      </x:c>
      <x:c r="E21" s="8" t="str">
        <x:v>Proportion of women aged 20-24 years who were married or in a union before ag...</x:v>
      </x:c>
      <x:c r="F21" s="8" t="str">
        <x:v>PT</x:v>
      </x:c>
      <x:c r="G21" s="8" t="str">
        <x:v>DHS, NISR</x:v>
      </x:c>
      <x:c r="H21" s="8" t="n">
        <x:v>2020</x:v>
      </x:c>
      <x:c r="I21" s="8" t="n">
        <x:v>0.3</x:v>
      </x:c>
      <x:c r="J21" s="8" t="str">
        <x:v>DHS</x:v>
      </x:c>
      <x:c r="K21" s="8" t="str">
        <x:v>Rwanda DHS 2019–20 Final Report</x:v>
      </x:c>
      <x:c r="L21" s="8" t="n">
        <x:v>2021</x:v>
      </x:c>
      <x:c r="M21" s="8" t="str">
        <x:v>PDF</x:v>
      </x:c>
      <x:c r="N21" s="8" t="str">
        <x:v>https://www.statistics.gov.rw/sites/default/files/documents/2025-01/Rwanda%20DHS%202019-20_FINAL%20REPORT_N.pdf</x:v>
      </x:c>
      <x:c r="O21" s="8" t="str">
        <x:v>SDG summary p. xxviii</x:v>
      </x:c>
      <x:c r="P21" s="8" t="str">
        <x:v>Table 4.3</x:v>
      </x:c>
      <x:c r="Q21" s="8" t="str">
        <x:v>Age at first marriage</x:v>
      </x:c>
      <x:c r="R21" s="8" t="str">
        <x:v>Married before age 15</x:v>
      </x:c>
      <x:c r="S21" s="8" t="str">
        <x:v>Women 20–24</x:v>
      </x:c>
      <x:c r="T21" s="8" t="str">
        <x:v>Before age 15</x:v>
      </x:c>
      <x:c r="U21" s="8" t="str">
        <x:v>RW/National</x:v>
      </x:c>
      <x:c r="V21" s="8" t="str">
        <x:v>Total</x:v>
      </x:c>
      <x:c r="W21" s="8" t="str">
        <x:v>PDF table extraction</x:v>
      </x:c>
      <x:c r="X21" s="8" t="str">
        <x:v>High</x:v>
      </x:c>
      <x:c r="Y21" s="8" t="str">
        <x:v>Ready</x:v>
      </x:c>
      <x:c r="Z21" s="8" t="str">
        <x:v>Source checked</x:v>
      </x:c>
      <x:c r="AA21" s="8" t="str">
        <x:v>National value 0.3%.</x:v>
      </x:c>
    </x:row>
    <x:row r="22" ht="66" hidden="0" customHeight="1">
      <x:c r="A22" s="8" t="str">
        <x:v>MAP-021</x:v>
      </x:c>
      <x:c r="B22" s="8" t="str">
        <x:v>5.4.1</x:v>
      </x:c>
      <x:c r="C22" s="8" t="str">
        <x:v>Proportion of time spent on unpaid domestic and care work, by sex, age and lo...</x:v>
      </x:c>
      <x:c r="D22" s="8" t="str">
        <x:v>SL_DOM_TSPDCW</x:v>
      </x:c>
      <x:c r="E22" s="8" t="str">
        <x:v>Proportion of time spent on unpaid care work -  (in hours per week)</x:v>
      </x:c>
      <x:c r="F22" s="8" t="str">
        <x:v>NUMBER</x:v>
      </x:c>
      <x:c r="G22" s="8" t="str">
        <x:v>LFS, NISR</x:v>
      </x:c>
      <x:c r="H22" s="8" t="n">
        <x:v>2024</x:v>
      </x:c>
      <x:c r="I22" s="8" t="n">
        <x:v>17.7</x:v>
      </x:c>
      <x:c r="J22" s="8" t="str">
        <x:v>LFS</x:v>
      </x:c>
      <x:c r="K22" s="8" t="str">
        <x:v>Labour Force Survey Annual Report 2024</x:v>
      </x:c>
      <x:c r="L22" s="8" t="n">
        <x:v>2025</x:v>
      </x:c>
      <x:c r="M22" s="8" t="str">
        <x:v>PDF</x:v>
      </x:c>
      <x:c r="N22" s="8" t="str">
        <x:v>https://statistics.gov.rw/sites/default/files/documents/2025-05/Annual%20Report%20LFS%202024.pdf</x:v>
      </x:c>
      <x:c r="O22" s="8" t="str">
        <x:v>Time-use/unpaid work item</x:v>
      </x:c>
      <x:c r="P22" s="8" t="str">
        <x:v>Not verified</x:v>
      </x:c>
      <x:c r="Q22" s="8" t="str">
        <x:v>Time spent on unpaid care work</x:v>
      </x:c>
      <x:c r="R22" s="8" t="str">
        <x:v>Hours per week</x:v>
      </x:c>
      <x:c r="S22" s="8" t="str">
        <x:v>Rwanda</x:v>
      </x:c>
      <x:c r="T22" s="8" t="str">
        <x:v>Total</x:v>
      </x:c>
      <x:c r="U22" s="8" t="str">
        <x:v>RW/National</x:v>
      </x:c>
      <x:c r="V22" s="8" t="str">
        <x:v>Total</x:v>
      </x:c>
      <x:c r="W22" s="8" t="str">
        <x:v>AI-assisted match</x:v>
      </x:c>
      <x:c r="X22" s="8" t="str">
        <x:v>Medium</x:v>
      </x:c>
      <x:c r="Y22" s="8" t="str">
        <x:v>Needs Review</x:v>
      </x:c>
      <x:c r="Z22" s="8" t="str">
        <x:v>Pending NISR reviewer</x:v>
      </x:c>
      <x:c r="AA22" s="8" t="str">
        <x:v>The LFS annual report does not expose a verified numbered table matching this derived indicator; likely requires microdata/direct Excel output.</x:v>
      </x:c>
    </x:row>
    <x:row r="23" ht="39.599998474121094" hidden="0" customHeight="1">
      <x:c r="A23" s="8" t="str">
        <x:v>MAP-022</x:v>
      </x:c>
      <x:c r="B23" s="8" t="str">
        <x:v>5.5.2</x:v>
      </x:c>
      <x:c r="C23" s="8" t="str">
        <x:v>Proportion of women in managerial positions</x:v>
      </x:c>
      <x:c r="D23" s="8" t="str">
        <x:v>IC_GEN_MGTL</x:v>
      </x:c>
      <x:c r="E23" s="8" t="str">
        <x:v>Proportion of women in managerial positions</x:v>
      </x:c>
      <x:c r="F23" s="8" t="str">
        <x:v>PT</x:v>
      </x:c>
      <x:c r="G23" s="8" t="str">
        <x:v>LFS, NISR</x:v>
      </x:c>
      <x:c r="H23" s="8" t="n">
        <x:v>2023</x:v>
      </x:c>
      <x:c r="I23" s="8" t="n">
        <x:v>39.6</x:v>
      </x:c>
      <x:c r="J23" s="8" t="str">
        <x:v>LFS</x:v>
      </x:c>
      <x:c r="K23" s="8" t="str">
        <x:v>Labour Force Survey Annual Report 2024</x:v>
      </x:c>
      <x:c r="L23" s="8" t="n">
        <x:v>2025</x:v>
      </x:c>
      <x:c r="M23" s="8" t="str">
        <x:v>PDF</x:v>
      </x:c>
      <x:c r="N23" s="8" t="str">
        <x:v>https://statistics.gov.rw/sites/default/files/documents/2025-05/Annual%20Report%20LFS%202024.pdf</x:v>
      </x:c>
      <x:c r="O23" s="8" t="str">
        <x:v>Employment by occupation section</x:v>
      </x:c>
      <x:c r="P23" s="8" t="str">
        <x:v>Not verified</x:v>
      </x:c>
      <x:c r="Q23" s="8" t="str">
        <x:v>Women in managerial positions</x:v>
      </x:c>
      <x:c r="R23" s="8" t="str">
        <x:v>Managerial positions</x:v>
      </x:c>
      <x:c r="S23" s="8" t="str">
        <x:v>Female</x:v>
      </x:c>
      <x:c r="T23" s="8" t="str">
        <x:v>Share of managers</x:v>
      </x:c>
      <x:c r="U23" s="8" t="str">
        <x:v>RW/National</x:v>
      </x:c>
      <x:c r="V23" s="8" t="str">
        <x:v>Total</x:v>
      </x:c>
      <x:c r="W23" s="8" t="str">
        <x:v>AI-assisted match</x:v>
      </x:c>
      <x:c r="X23" s="8" t="str">
        <x:v>Medium</x:v>
      </x:c>
      <x:c r="Y23" s="8" t="str">
        <x:v>Needs Review</x:v>
      </x:c>
      <x:c r="Z23" s="8" t="str">
        <x:v>Pending NISR reviewer</x:v>
      </x:c>
      <x:c r="AA23" s="8" t="str">
        <x:v>Confirm occupation-code definition and denominator before automation.</x:v>
      </x:c>
    </x:row>
    <x:row r="24" ht="52.79999923706055" hidden="0" customHeight="1">
      <x:c r="A24" s="8" t="str">
        <x:v>MAP-023</x:v>
      </x:c>
      <x:c r="B24" s="8" t="str">
        <x:v>5.6.1</x:v>
      </x:c>
      <x:c r="C24" s="8" t="str">
        <x:v>Proportion of women aged 15-49 years who make their own informed decisions re...</x:v>
      </x:c>
      <x:c r="D24" s="8" t="str">
        <x:v>SH_FPL_INFM</x:v>
      </x:c>
      <x:c r="E24" s="8" t="str">
        <x:v>Proportion of women who make their own informed decisions regarding sexual re...</x:v>
      </x:c>
      <x:c r="F24" s="8" t="str">
        <x:v>PT</x:v>
      </x:c>
      <x:c r="G24" s="8" t="str">
        <x:v>DHS, NISR</x:v>
      </x:c>
      <x:c r="H24" s="8" t="n">
        <x:v>2020</x:v>
      </x:c>
      <x:c r="I24" s="8" t="n">
        <x:v>63.1</x:v>
      </x:c>
      <x:c r="J24" s="8" t="str">
        <x:v>DHS</x:v>
      </x:c>
      <x:c r="K24" s="8" t="str">
        <x:v>Rwanda DHS 2019–20 Final Report</x:v>
      </x:c>
      <x:c r="L24" s="8" t="n">
        <x:v>2021</x:v>
      </x:c>
      <x:c r="M24" s="8" t="str">
        <x:v>PDF</x:v>
      </x:c>
      <x:c r="N24" s="8" t="str">
        <x:v>https://www.statistics.gov.rw/sites/default/files/documents/2025-01/Rwanda%20DHS%202019-20_FINAL%20REPORT_N.pdf</x:v>
      </x:c>
      <x:c r="O24" s="8" t="str">
        <x:v>SDG summary p. xxviii</x:v>
      </x:c>
      <x:c r="P24" s="8" t="str">
        <x:v>SDG 5.6.1 summary (no source table number shown)</x:v>
      </x:c>
      <x:c r="Q24" s="8" t="str">
        <x:v>Informed decisions regarding sexual relations, contraceptive use and reproductive health care</x:v>
      </x:c>
      <x:c r="R24" s="8" t="str">
        <x:v>All three decisions</x:v>
      </x:c>
      <x:c r="S24" s="8" t="str">
        <x:v>Women 15–49</x:v>
      </x:c>
      <x:c r="T24" s="8" t="str">
        <x:v>Total</x:v>
      </x:c>
      <x:c r="U24" s="8" t="str">
        <x:v>RW/National</x:v>
      </x:c>
      <x:c r="V24" s="8" t="str">
        <x:v>Total</x:v>
      </x:c>
      <x:c r="W24" s="8" t="str">
        <x:v>Manual entry</x:v>
      </x:c>
      <x:c r="X24" s="8" t="str">
        <x:v>Medium</x:v>
      </x:c>
      <x:c r="Y24" s="8" t="str">
        <x:v>Needs Review</x:v>
      </x:c>
      <x:c r="Z24" s="8" t="str">
        <x:v>Pending NISR reviewer</x:v>
      </x:c>
      <x:c r="AA24" s="8" t="str">
        <x:v>Value 63.1 is shown in the report’s SDG summary, but the underlying numbered table was not identified.</x:v>
      </x:c>
    </x:row>
    <x:row r="25" ht="39.599998474121094" hidden="0" customHeight="1">
      <x:c r="A25" s="8" t="str">
        <x:v>MAP-024</x:v>
      </x:c>
      <x:c r="B25" s="8" t="str">
        <x:v>7.1.2</x:v>
      </x:c>
      <x:c r="C25" s="8" t="str">
        <x:v>Proportion of population with primary reliance on clean fuels and technology</x:v>
      </x:c>
      <x:c r="D25" s="8" t="str">
        <x:v>_L_RW_070102_1</x:v>
      </x:c>
      <x:c r="E25" s="8" t="str">
        <x:v>Proportion (%) of Households with primary reliance on clean cooking fuels</x:v>
      </x:c>
      <x:c r="F25" s="8" t="str">
        <x:v>PT</x:v>
      </x:c>
      <x:c r="G25" s="8" t="str">
        <x:v>EICV, NISR</x:v>
      </x:c>
      <x:c r="H25" s="8" t="n">
        <x:v>2024</x:v>
      </x:c>
      <x:c r="I25" s="8" t="n">
        <x:v>5.4</x:v>
      </x:c>
      <x:c r="J25" s="8" t="str">
        <x:v>EICV</x:v>
      </x:c>
      <x:c r="K25" s="8" t="str">
        <x:v>EICV7 Main Indicators Report 2023/24</x:v>
      </x:c>
      <x:c r="L25" s="8" t="n">
        <x:v>2025</x:v>
      </x:c>
      <x:c r="M25" s="8" t="str">
        <x:v>PDF</x:v>
      </x:c>
      <x:c r="N25" s="8" t="str">
        <x:v>https://statistics.gov.rw/sites/default/files/documents/2025-07/EICV7_Main%20Indicator%20Report.pdf</x:v>
      </x:c>
      <x:c r="O25" s="8" t="str">
        <x:v>p. 57</x:v>
      </x:c>
      <x:c r="P25" s="8" t="str">
        <x:v>Table 5.9</x:v>
      </x:c>
      <x:c r="Q25" s="8" t="str">
        <x:v>Households by main type of cooking fuel</x:v>
      </x:c>
      <x:c r="R25" s="8" t="str">
        <x:v>Clean cooking fuels</x:v>
      </x:c>
      <x:c r="S25" s="8" t="str">
        <x:v>Rwanda</x:v>
      </x:c>
      <x:c r="T25" s="8" t="str">
        <x:v>Electricity + gas/biogas/other approved clean fuels</x:v>
      </x:c>
      <x:c r="U25" s="8" t="str">
        <x:v>RW/National</x:v>
      </x:c>
      <x:c r="V25" s="8" t="str">
        <x:v>Total</x:v>
      </x:c>
      <x:c r="W25" s="8" t="str">
        <x:v>PDF table extraction</x:v>
      </x:c>
      <x:c r="X25" s="8" t="str">
        <x:v>High</x:v>
      </x:c>
      <x:c r="Y25" s="8" t="str">
        <x:v>Ready</x:v>
      </x:c>
      <x:c r="Z25" s="8" t="str">
        <x:v>Source checked</x:v>
      </x:c>
      <x:c r="AA25" s="8" t="str">
        <x:v>Store the aggregation rule explicitly; the table lists fuel categories rather than a precomputed clean-fuel total.</x:v>
      </x:c>
    </x:row>
    <x:row r="26" ht="52.79999923706055" hidden="0" customHeight="1">
      <x:c r="A26" s="8" t="str">
        <x:v>MAP-025</x:v>
      </x:c>
      <x:c r="B26" s="8" t="str">
        <x:v>8.1.1</x:v>
      </x:c>
      <x:c r="C26" s="8" t="str">
        <x:v>Annual growth rate of real GDP per capita</x:v>
      </x:c>
      <x:c r="D26" s="8" t="str">
        <x:v>NY_GDP_PCAP</x:v>
      </x:c>
      <x:c r="E26" s="8" t="str">
        <x:v>Annual growth rate of real GDP per capita</x:v>
      </x:c>
      <x:c r="F26" s="8" t="str">
        <x:v>PT</x:v>
      </x:c>
      <x:c r="G26" s="8" t="str">
        <x:v>National Accounts, NISR</x:v>
      </x:c>
      <x:c r="H26" s="8" t="n">
        <x:v>2024</x:v>
      </x:c>
      <x:c r="I26" s="8" t="n">
        <x:v>6.5</x:v>
      </x:c>
      <x:c r="J26" s="8" t="str">
        <x:v>National Accounts</x:v>
      </x:c>
      <x:c r="K26" s="8" t="str">
        <x:v>GDP National Accounts 2024—Annual Report</x:v>
      </x:c>
      <x:c r="L26" s="8" t="n">
        <x:v>2025</x:v>
      </x:c>
      <x:c r="M26" s="8" t="str">
        <x:v>PDF</x:v>
      </x:c>
      <x:c r="N26" s="8" t="str">
        <x:v>https://statistics.gov.rw/sites/default/files/documents/2025-03/GDP%20National%20Accounts%202024%20Annual.pdf</x:v>
      </x:c>
      <x:c r="O26" s="8" t="str">
        <x:v>National accounts time series</x:v>
      </x:c>
      <x:c r="P26" s="8" t="str">
        <x:v>Unnumbered/derived</x:v>
      </x:c>
      <x:c r="Q26" s="8" t="str">
        <x:v>Annual growth rate of real GDP per capita</x:v>
      </x:c>
      <x:c r="R26" s="8" t="str">
        <x:v>Real GDP per capita growth</x:v>
      </x:c>
      <x:c r="S26" s="8" t="str">
        <x:v>Rwanda</x:v>
      </x:c>
      <x:c r="T26" s="8" t="str">
        <x:v>2024</x:v>
      </x:c>
      <x:c r="U26" s="8" t="str">
        <x:v>RW/National</x:v>
      </x:c>
      <x:c r="V26" s="8" t="str">
        <x:v>Total</x:v>
      </x:c>
      <x:c r="W26" s="8" t="str">
        <x:v>Excel direct cell</x:v>
      </x:c>
      <x:c r="X26" s="8" t="str">
        <x:v>Medium</x:v>
      </x:c>
      <x:c r="Y26" s="8" t="str">
        <x:v>Needs Review</x:v>
      </x:c>
      <x:c r="Z26" s="8" t="str">
        <x:v>Pending NISR reviewer</x:v>
      </x:c>
      <x:c r="AA26" s="8" t="str">
        <x:v>Value is derived from GDP and population series; identify the official National Accounts Excel cell for repeatable extraction.</x:v>
      </x:c>
    </x:row>
    <x:row r="27" ht="39.599998474121094" hidden="0" customHeight="1">
      <x:c r="A27" s="8" t="str">
        <x:v>MAP-026</x:v>
      </x:c>
      <x:c r="B27" s="8" t="str">
        <x:v>8.3.1</x:v>
      </x:c>
      <x:c r="C27" s="8" t="str">
        <x:v>Proportion of informal employment in non‑agriculture employment, by sex</x:v>
      </x:c>
      <x:c r="D27" s="8" t="str">
        <x:v>SL_ISV_IFRM</x:v>
      </x:c>
      <x:c r="E27" s="8" t="str">
        <x:v>Proportion of informal employment in non-agriculture employment</x:v>
      </x:c>
      <x:c r="F27" s="8" t="str">
        <x:v>PT</x:v>
      </x:c>
      <x:c r="G27" s="8" t="str">
        <x:v>LFS, NISR</x:v>
      </x:c>
      <x:c r="H27" s="8" t="n">
        <x:v>2024</x:v>
      </x:c>
      <x:c r="I27" s="8" t="n">
        <x:v>85.5</x:v>
      </x:c>
      <x:c r="J27" s="8" t="str">
        <x:v>LFS</x:v>
      </x:c>
      <x:c r="K27" s="8" t="str">
        <x:v>Labour Force Survey Annual Report 2024</x:v>
      </x:c>
      <x:c r="L27" s="8" t="n">
        <x:v>2025</x:v>
      </x:c>
      <x:c r="M27" s="8" t="str">
        <x:v>PDF</x:v>
      </x:c>
      <x:c r="N27" s="8" t="str">
        <x:v>https://statistics.gov.rw/sites/default/files/documents/2025-05/Annual%20Report%20LFS%202024.pdf</x:v>
      </x:c>
      <x:c r="O27" s="8" t="str">
        <x:v>p. 14</x:v>
      </x:c>
      <x:c r="P27" s="8" t="str">
        <x:v>Unnumbered summary table</x:v>
      </x:c>
      <x:c r="Q27" s="8" t="str">
        <x:v>Trend of Labour Force Survey main indicators</x:v>
      </x:c>
      <x:c r="R27" s="8" t="str">
        <x:v>Informal employment in non-agriculture employment (%)</x:v>
      </x:c>
      <x:c r="S27" s="8" t="str">
        <x:v>2024</x:v>
      </x:c>
      <x:c r="T27" s="8" t="str">
        <x:v>Indicator column</x:v>
      </x:c>
      <x:c r="U27" s="8" t="str">
        <x:v>RW/National</x:v>
      </x:c>
      <x:c r="V27" s="8" t="str">
        <x:v>Total</x:v>
      </x:c>
      <x:c r="W27" s="8" t="str">
        <x:v>PDF table extraction</x:v>
      </x:c>
      <x:c r="X27" s="8" t="str">
        <x:v>High</x:v>
      </x:c>
      <x:c r="Y27" s="8" t="str">
        <x:v>Ready</x:v>
      </x:c>
      <x:c r="Z27" s="8" t="str">
        <x:v>Source checked</x:v>
      </x:c>
      <x:c r="AA27" s="8" t="str">
        <x:v>National 2024 value 85.5%.</x:v>
      </x:c>
    </x:row>
    <x:row r="28" ht="52.79999923706055" hidden="0" customHeight="1">
      <x:c r="A28" s="8" t="str">
        <x:v>MAP-027</x:v>
      </x:c>
      <x:c r="B28" s="8" t="str">
        <x:v>8.5.1</x:v>
      </x:c>
      <x:c r="C28" s="8" t="str">
        <x:v>Average hourly earnings of female and male employees, by occupation, age and ...</x:v>
      </x:c>
      <x:c r="D28" s="8" t="str">
        <x:v>SL_EMP_EARN</x:v>
      </x:c>
      <x:c r="E28" s="8" t="str">
        <x:v>Average hourly earnings</x:v>
      </x:c>
      <x:c r="F28" s="8" t="str">
        <x:v>NUMBER</x:v>
      </x:c>
      <x:c r="G28" s="8" t="str">
        <x:v>LFS, NISR</x:v>
      </x:c>
      <x:c r="H28" s="8" t="n">
        <x:v>2023</x:v>
      </x:c>
      <x:c r="I28" s="8" t="n">
        <x:v>3496.26085157654</x:v>
      </x:c>
      <x:c r="J28" s="8" t="str">
        <x:v>LFS</x:v>
      </x:c>
      <x:c r="K28" s="8" t="str">
        <x:v>Labour Force Survey microdata/indicator output</x:v>
      </x:c>
      <x:c r="L28" s="8" t="n">
        <x:v>2024</x:v>
      </x:c>
      <x:c r="M28" s="8" t="str">
        <x:v>Excel</x:v>
      </x:c>
      <x:c r="N28" s="8" t="str">
        <x:v>https://statistics.gov.rw/sites/default/files/documents/2025-05/Annual%20Report%20LFS%202024.pdf</x:v>
      </x:c>
      <x:c r="O28" s="8" t="str">
        <x:v>Direct output required</x:v>
      </x:c>
      <x:c r="P28" s="8" t="str">
        <x:v>Not in verified report table</x:v>
      </x:c>
      <x:c r="Q28" s="8" t="str">
        <x:v>Average hourly earnings</x:v>
      </x:c>
      <x:c r="R28" s="8" t="str">
        <x:v>Average hourly earnings</x:v>
      </x:c>
      <x:c r="S28" s="8" t="str">
        <x:v>Rwanda</x:v>
      </x:c>
      <x:c r="T28" s="8" t="str">
        <x:v>Total employees</x:v>
      </x:c>
      <x:c r="U28" s="8" t="str">
        <x:v>RW/National</x:v>
      </x:c>
      <x:c r="V28" s="8" t="str">
        <x:v>Total</x:v>
      </x:c>
      <x:c r="W28" s="8" t="str">
        <x:v>Excel direct cell</x:v>
      </x:c>
      <x:c r="X28" s="8" t="str">
        <x:v>Medium</x:v>
      </x:c>
      <x:c r="Y28" s="8" t="str">
        <x:v>Needs Review</x:v>
      </x:c>
      <x:c r="Z28" s="8" t="str">
        <x:v>Pending NISR reviewer</x:v>
      </x:c>
      <x:c r="AA28" s="8" t="str">
        <x:v>Dashboard value 3,496.26 does not match Figure 4.15 average hourly cash income; confirm variable, denominator and source output.</x:v>
      </x:c>
    </x:row>
    <x:row r="29" ht="39.599998474121094" hidden="0" customHeight="1">
      <x:c r="A29" s="8" t="str">
        <x:v>MAP-028</x:v>
      </x:c>
      <x:c r="B29" s="8" t="str">
        <x:v>8.5.2</x:v>
      </x:c>
      <x:c r="C29" s="8" t="str">
        <x:v>Unemployment rate, by sex, age and persons with disabilities (%)</x:v>
      </x:c>
      <x:c r="D29" s="8" t="str">
        <x:v>SL_TLF_UEM</x:v>
      </x:c>
      <x:c r="E29" s="8" t="str">
        <x:v>Unemployment rate</x:v>
      </x:c>
      <x:c r="F29" s="8" t="str">
        <x:v>PT</x:v>
      </x:c>
      <x:c r="G29" s="8" t="str">
        <x:v>LFS, NISR</x:v>
      </x:c>
      <x:c r="H29" s="8" t="n">
        <x:v>2024</x:v>
      </x:c>
      <x:c r="I29" s="8" t="n">
        <x:v>14.93</x:v>
      </x:c>
      <x:c r="J29" s="8" t="str">
        <x:v>LFS</x:v>
      </x:c>
      <x:c r="K29" s="8" t="str">
        <x:v>Labour Force Survey Annual Report 2024</x:v>
      </x:c>
      <x:c r="L29" s="8" t="n">
        <x:v>2025</x:v>
      </x:c>
      <x:c r="M29" s="8" t="str">
        <x:v>PDF</x:v>
      </x:c>
      <x:c r="N29" s="8" t="str">
        <x:v>https://statistics.gov.rw/sites/default/files/documents/2025-05/Annual%20Report%20LFS%202024.pdf</x:v>
      </x:c>
      <x:c r="O29" s="8" t="str">
        <x:v>p. 40</x:v>
      </x:c>
      <x:c r="P29" s="8" t="str">
        <x:v>Figure 5.1</x:v>
      </x:c>
      <x:c r="Q29" s="8" t="str">
        <x:v>Unemployment rate by sex</x:v>
      </x:c>
      <x:c r="R29" s="8" t="str">
        <x:v>Unemployment rate</x:v>
      </x:c>
      <x:c r="S29" s="8" t="str">
        <x:v>Rwanda</x:v>
      </x:c>
      <x:c r="T29" s="8" t="str">
        <x:v>Total</x:v>
      </x:c>
      <x:c r="U29" s="8" t="str">
        <x:v>RW/National</x:v>
      </x:c>
      <x:c r="V29" s="8" t="str">
        <x:v>Total</x:v>
      </x:c>
      <x:c r="W29" s="8" t="str">
        <x:v>PDF table extraction</x:v>
      </x:c>
      <x:c r="X29" s="8" t="str">
        <x:v>High</x:v>
      </x:c>
      <x:c r="Y29" s="8" t="str">
        <x:v>Ready</x:v>
      </x:c>
      <x:c r="Z29" s="8" t="str">
        <x:v>Source checked</x:v>
      </x:c>
      <x:c r="AA29" s="8" t="str">
        <x:v>National 2024 value 14.9% (workbook stores 14.93).</x:v>
      </x:c>
    </x:row>
    <x:row r="30" ht="39.599998474121094" hidden="0" customHeight="1">
      <x:c r="A30" s="8" t="str">
        <x:v>MAP-029</x:v>
      </x:c>
      <x:c r="B30" s="8" t="str">
        <x:v>8.6.1</x:v>
      </x:c>
      <x:c r="C30" s="8" t="str">
        <x:v>Proportion of youth (aged 15-24 years) not in education, employment or training</x:v>
      </x:c>
      <x:c r="D30" s="8" t="str">
        <x:v>_L_RW_080601_1</x:v>
      </x:c>
      <x:c r="E30" s="8" t="str">
        <x:v>Proportion of youth (aged 16-24 years) not in education, employment or training</x:v>
      </x:c>
      <x:c r="F30" s="8" t="str">
        <x:v>PT</x:v>
      </x:c>
      <x:c r="G30" s="8" t="str">
        <x:v>LFS, NISR</x:v>
      </x:c>
      <x:c r="H30" s="8" t="n">
        <x:v>2024</x:v>
      </x:c>
      <x:c r="I30" s="8" t="n">
        <x:v>26.8</x:v>
      </x:c>
      <x:c r="J30" s="8" t="str">
        <x:v>LFS</x:v>
      </x:c>
      <x:c r="K30" s="8" t="str">
        <x:v>Labour Force Survey Annual Report 2024</x:v>
      </x:c>
      <x:c r="L30" s="8" t="n">
        <x:v>2025</x:v>
      </x:c>
      <x:c r="M30" s="8" t="str">
        <x:v>PDF</x:v>
      </x:c>
      <x:c r="N30" s="8" t="str">
        <x:v>https://statistics.gov.rw/sites/default/files/documents/2025-05/Annual%20Report%20LFS%202024.pdf</x:v>
      </x:c>
      <x:c r="O30" s="8" t="str">
        <x:v>p. 50</x:v>
      </x:c>
      <x:c r="P30" s="8" t="str">
        <x:v>Figure 7.5</x:v>
      </x:c>
      <x:c r="Q30" s="8" t="str">
        <x:v>Youth not in employment and not in education or training</x:v>
      </x:c>
      <x:c r="R30" s="8" t="str">
        <x:v>NEET rate</x:v>
      </x:c>
      <x:c r="S30" s="8" t="str">
        <x:v>Age 16–24</x:v>
      </x:c>
      <x:c r="T30" s="8" t="str">
        <x:v>2024</x:v>
      </x:c>
      <x:c r="U30" s="8" t="str">
        <x:v>RW/National</x:v>
      </x:c>
      <x:c r="V30" s="8" t="str">
        <x:v>Total</x:v>
      </x:c>
      <x:c r="W30" s="8" t="str">
        <x:v>PDF table extraction</x:v>
      </x:c>
      <x:c r="X30" s="8" t="str">
        <x:v>High</x:v>
      </x:c>
      <x:c r="Y30" s="8" t="str">
        <x:v>Ready</x:v>
      </x:c>
      <x:c r="Z30" s="8" t="str">
        <x:v>Source checked</x:v>
      </x:c>
      <x:c r="AA30" s="8" t="str">
        <x:v>National 2024 value 26.8%.</x:v>
      </x:c>
    </x:row>
    <x:row r="31" ht="39.599998474121094" hidden="0" customHeight="1">
      <x:c r="A31" s="8" t="str">
        <x:v>MAP-030</x:v>
      </x:c>
      <x:c r="B31" s="8" t="str">
        <x:v>8.7.1</x:v>
      </x:c>
      <x:c r="C31" s="8" t="str">
        <x:v>Proportion and number of children aged 5‑17 years engaged in child labour, by...</x:v>
      </x:c>
      <x:c r="D31" s="8" t="str">
        <x:v>SL_TLF_CHLDEA</x:v>
      </x:c>
      <x:c r="E31" s="8" t="str">
        <x:v>Proportion of children engaged in economic activity</x:v>
      </x:c>
      <x:c r="F31" s="8" t="str">
        <x:v>PT</x:v>
      </x:c>
      <x:c r="G31" s="8" t="str">
        <x:v>EICV, NISR</x:v>
      </x:c>
      <x:c r="H31" s="8" t="n">
        <x:v>2024</x:v>
      </x:c>
      <x:c r="I31" s="8" t="n">
        <x:v>3.3</x:v>
      </x:c>
      <x:c r="J31" s="8" t="str">
        <x:v>EICV</x:v>
      </x:c>
      <x:c r="K31" s="8" t="str">
        <x:v>EICV7 Main Indicators Report 2023/24</x:v>
      </x:c>
      <x:c r="L31" s="8" t="n">
        <x:v>2025</x:v>
      </x:c>
      <x:c r="M31" s="8" t="str">
        <x:v>PDF</x:v>
      </x:c>
      <x:c r="N31" s="8" t="str">
        <x:v>https://statistics.gov.rw/sites/default/files/documents/2025-07/EICV7_Main%20Indicator%20Report.pdf</x:v>
      </x:c>
      <x:c r="O31" s="8" t="str">
        <x:v>Economic activity/child work output</x:v>
      </x:c>
      <x:c r="P31" s="8" t="str">
        <x:v>Not verified</x:v>
      </x:c>
      <x:c r="Q31" s="8" t="str">
        <x:v>Children engaged in economic activity</x:v>
      </x:c>
      <x:c r="R31" s="8" t="str">
        <x:v>Child economic activity rate</x:v>
      </x:c>
      <x:c r="S31" s="8" t="str">
        <x:v>Age 5–17</x:v>
      </x:c>
      <x:c r="T31" s="8" t="str">
        <x:v>Total</x:v>
      </x:c>
      <x:c r="U31" s="8" t="str">
        <x:v>RW/National</x:v>
      </x:c>
      <x:c r="V31" s="8" t="str">
        <x:v>Total</x:v>
      </x:c>
      <x:c r="W31" s="8" t="str">
        <x:v>AI-assisted match</x:v>
      </x:c>
      <x:c r="X31" s="8" t="str">
        <x:v>Medium</x:v>
      </x:c>
      <x:c r="Y31" s="8" t="str">
        <x:v>Needs Review</x:v>
      </x:c>
      <x:c r="Z31" s="8" t="str">
        <x:v>Pending NISR reviewer</x:v>
      </x:c>
      <x:c r="AA31" s="8" t="str">
        <x:v>No matching numbered national table was verified in the EICV7 main report; likely requires EICV analytical output.</x:v>
      </x:c>
    </x:row>
    <x:row r="32" ht="66" hidden="0" customHeight="1">
      <x:c r="A32" s="8" t="str">
        <x:v>MAP-031</x:v>
      </x:c>
      <x:c r="B32" s="8" t="str">
        <x:v>8.10.2</x:v>
      </x:c>
      <x:c r="C32" s="8" t="str">
        <x:v>Proportion of adults (15 years and older) with an account at a bank or other ...</x:v>
      </x:c>
      <x:c r="D32" s="8" t="str">
        <x:v>_L_RW_081002_1</x:v>
      </x:c>
      <x:c r="E32" s="8" t="str">
        <x:v>Percentage of households with at least one savings account</x:v>
      </x:c>
      <x:c r="F32" s="8" t="str">
        <x:v>PT</x:v>
      </x:c>
      <x:c r="G32" s="8" t="str">
        <x:v>EICV, NISR</x:v>
      </x:c>
      <x:c r="H32" s="8" t="n">
        <x:v>2020</x:v>
      </x:c>
      <x:c r="I32" s="8" t="n">
        <x:v>93</x:v>
      </x:c>
      <x:c r="J32" s="8" t="str">
        <x:v>EICV</x:v>
      </x:c>
      <x:c r="K32" s="8" t="str">
        <x:v>FinScope Rwanda 2024 / EICV source to be confirmed</x:v>
      </x:c>
      <x:c r="L32" s="8" t="n">
        <x:v>2024</x:v>
      </x:c>
      <x:c r="M32" s="8" t="str">
        <x:v>PDF+Excel</x:v>
      </x:c>
      <x:c r="N32" s="8" t="str">
        <x:v>https://statistics.gov.rw/node</x:v>
      </x:c>
      <x:c r="O32" s="8" t="str">
        <x:v>Financial inclusion output</x:v>
      </x:c>
      <x:c r="P32" s="8" t="str">
        <x:v>Not verified</x:v>
      </x:c>
      <x:c r="Q32" s="8" t="str">
        <x:v>Adults with a financial account</x:v>
      </x:c>
      <x:c r="R32" s="8" t="str">
        <x:v>Account ownership</x:v>
      </x:c>
      <x:c r="S32" s="8" t="str">
        <x:v>Adults 15+</x:v>
      </x:c>
      <x:c r="T32" s="8" t="str">
        <x:v>Total</x:v>
      </x:c>
      <x:c r="U32" s="8" t="str">
        <x:v>RW/National</x:v>
      </x:c>
      <x:c r="V32" s="8" t="str">
        <x:v>Total</x:v>
      </x:c>
      <x:c r="W32" s="8" t="str">
        <x:v>AI-assisted match</x:v>
      </x:c>
      <x:c r="X32" s="8" t="str">
        <x:v>Medium</x:v>
      </x:c>
      <x:c r="Y32" s="8" t="str">
        <x:v>Needs Review</x:v>
      </x:c>
      <x:c r="Z32" s="8" t="str">
        <x:v>Pending NISR reviewer</x:v>
      </x:c>
      <x:c r="AA32" s="8" t="str">
        <x:v>The workbook’s ‘households with at least one savings account’ proxy and 93% do not match the SDG account-ownership definition; FinScope is the likely source.</x:v>
      </x:c>
    </x:row>
    <x:row r="33" ht="52.79999923706055" hidden="0" customHeight="1">
      <x:c r="A33" s="8" t="str">
        <x:v>MAP-032</x:v>
      </x:c>
      <x:c r="B33" s="8" t="str">
        <x:v>9.2.1</x:v>
      </x:c>
      <x:c r="C33" s="8" t="str">
        <x:v>Manufacturing value added as a proportion of GDP and per capita</x:v>
      </x:c>
      <x:c r="D33" s="8" t="str">
        <x:v>NV_IND_MANF</x:v>
      </x:c>
      <x:c r="E33" s="8" t="str">
        <x:v>Manufacturing value added as a proportion of GDP (%)</x:v>
      </x:c>
      <x:c r="F33" s="8" t="str">
        <x:v>PT</x:v>
      </x:c>
      <x:c r="G33" s="8" t="str">
        <x:v>National Accounts, NISR</x:v>
      </x:c>
      <x:c r="H33" s="8" t="n">
        <x:v>2023</x:v>
      </x:c>
      <x:c r="I33" s="8" t="n">
        <x:v>10</x:v>
      </x:c>
      <x:c r="J33" s="8" t="str">
        <x:v>National Accounts</x:v>
      </x:c>
      <x:c r="K33" s="8" t="str">
        <x:v>GDP National Accounts 2024—Annual Report</x:v>
      </x:c>
      <x:c r="L33" s="8" t="n">
        <x:v>2025</x:v>
      </x:c>
      <x:c r="M33" s="8" t="str">
        <x:v>PDF</x:v>
      </x:c>
      <x:c r="N33" s="8" t="str">
        <x:v>https://statistics.gov.rw/sites/default/files/documents/2025-03/GDP%20National%20Accounts%202024%20Annual.pdf</x:v>
      </x:c>
      <x:c r="O33" s="8" t="str">
        <x:v>Production approach tables</x:v>
      </x:c>
      <x:c r="P33" s="8" t="str">
        <x:v>Derived</x:v>
      </x:c>
      <x:c r="Q33" s="8" t="str">
        <x:v>Manufacturing value added as a proportion of GDP</x:v>
      </x:c>
      <x:c r="R33" s="8" t="str">
        <x:v>Manufacturing GVA / GDP</x:v>
      </x:c>
      <x:c r="S33" s="8" t="str">
        <x:v>Rwanda</x:v>
      </x:c>
      <x:c r="T33" s="8" t="str">
        <x:v>2024</x:v>
      </x:c>
      <x:c r="U33" s="8" t="str">
        <x:v>RW/National</x:v>
      </x:c>
      <x:c r="V33" s="8" t="str">
        <x:v>Total</x:v>
      </x:c>
      <x:c r="W33" s="8" t="str">
        <x:v>Excel direct cell</x:v>
      </x:c>
      <x:c r="X33" s="8" t="str">
        <x:v>Medium</x:v>
      </x:c>
      <x:c r="Y33" s="8" t="str">
        <x:v>Needs Review</x:v>
      </x:c>
      <x:c r="Z33" s="8" t="str">
        <x:v>Pending NISR reviewer</x:v>
      </x:c>
      <x:c r="AA33" s="8" t="str">
        <x:v>Use the official National Accounts Excel workbook and record numerator/denominator cells; dashboard currently ends at 2023.</x:v>
      </x:c>
    </x:row>
    <x:row r="34" ht="39.599998474121094" hidden="0" customHeight="1">
      <x:c r="A34" s="8" t="str">
        <x:v>MAP-033</x:v>
      </x:c>
      <x:c r="B34" s="8" t="str">
        <x:v>9.2.2</x:v>
      </x:c>
      <x:c r="C34" s="8" t="str">
        <x:v>Manufacturing employment as a proportion of total employment</x:v>
      </x:c>
      <x:c r="D34" s="8" t="str">
        <x:v>SL_TLF_MANF</x:v>
      </x:c>
      <x:c r="E34" s="8" t="str">
        <x:v>Manufacturing employment as a proportion of total employment</x:v>
      </x:c>
      <x:c r="F34" s="8" t="str">
        <x:v>PT</x:v>
      </x:c>
      <x:c r="G34" s="8" t="str">
        <x:v>LFS, NISR</x:v>
      </x:c>
      <x:c r="H34" s="8" t="n">
        <x:v>2024</x:v>
      </x:c>
      <x:c r="I34" s="8" t="n">
        <x:v>5.7</x:v>
      </x:c>
      <x:c r="J34" s="8" t="str">
        <x:v>LFS</x:v>
      </x:c>
      <x:c r="K34" s="8" t="str">
        <x:v>Labour Force Survey Annual Report 2024</x:v>
      </x:c>
      <x:c r="L34" s="8" t="n">
        <x:v>2025</x:v>
      </x:c>
      <x:c r="M34" s="8" t="str">
        <x:v>PDF</x:v>
      </x:c>
      <x:c r="N34" s="8" t="str">
        <x:v>https://statistics.gov.rw/sites/default/files/documents/2025-05/Annual%20Report%20LFS%202024.pdf</x:v>
      </x:c>
      <x:c r="O34" s="8" t="str">
        <x:v>p. 15</x:v>
      </x:c>
      <x:c r="P34" s="8" t="str">
        <x:v>Unnumbered summary table</x:v>
      </x:c>
      <x:c r="Q34" s="8" t="str">
        <x:v>Trend of Labour Force Survey main indicators</x:v>
      </x:c>
      <x:c r="R34" s="8" t="str">
        <x:v>Manufacturing employment as % of total employment</x:v>
      </x:c>
      <x:c r="S34" s="8" t="str">
        <x:v>2024</x:v>
      </x:c>
      <x:c r="T34" s="8" t="str">
        <x:v>Indicator column</x:v>
      </x:c>
      <x:c r="U34" s="8" t="str">
        <x:v>RW/National</x:v>
      </x:c>
      <x:c r="V34" s="8" t="str">
        <x:v>Total</x:v>
      </x:c>
      <x:c r="W34" s="8" t="str">
        <x:v>PDF table extraction</x:v>
      </x:c>
      <x:c r="X34" s="8" t="str">
        <x:v>High</x:v>
      </x:c>
      <x:c r="Y34" s="8" t="str">
        <x:v>Ready</x:v>
      </x:c>
      <x:c r="Z34" s="8" t="str">
        <x:v>Source checked</x:v>
      </x:c>
      <x:c r="AA34" s="8" t="str">
        <x:v>National 2024 value 5.7%.</x:v>
      </x:c>
    </x:row>
    <x:row r="35" ht="52.79999923706055" hidden="0" customHeight="1">
      <x:c r="A35" s="8" t="str">
        <x:v>MAP-034</x:v>
      </x:c>
      <x:c r="B35" s="8" t="str">
        <x:v>10.3.1</x:v>
      </x:c>
      <x:c r="C35" s="8" t="str">
        <x:v>Proportion of population reporting having personally felt discriminated again...</x:v>
      </x:c>
      <x:c r="D35" s="8" t="str">
        <x:v>VC_VOV_GDSD</x:v>
      </x:c>
      <x:c r="E35" s="8" t="str">
        <x:v>Reason for stopping last employment/ Physical and social harassment</x:v>
      </x:c>
      <x:c r="F35" s="8" t="str">
        <x:v>PT</x:v>
      </x:c>
      <x:c r="G35" s="8" t="str">
        <x:v>LFS, NISR</x:v>
      </x:c>
      <x:c r="H35" s="8" t="n">
        <x:v>2023</x:v>
      </x:c>
      <x:c r="I35" s="8" t="n">
        <x:v>0.2</x:v>
      </x:c>
      <x:c r="J35" s="8" t="str">
        <x:v>LFS</x:v>
      </x:c>
      <x:c r="K35" s="8" t="str">
        <x:v>Labour Force Survey annual/microdata output</x:v>
      </x:c>
      <x:c r="L35" s="8" t="n">
        <x:v>2024</x:v>
      </x:c>
      <x:c r="M35" s="8" t="str">
        <x:v>Excel</x:v>
      </x:c>
      <x:c r="N35" s="8" t="str">
        <x:v>https://statistics.gov.rw/sites/default/files/documents/2025-05/Annual%20Report%20LFS%202024.pdf</x:v>
      </x:c>
      <x:c r="O35" s="8" t="str">
        <x:v>Reason for stopping last employment</x:v>
      </x:c>
      <x:c r="P35" s="8" t="str">
        <x:v>Not verified</x:v>
      </x:c>
      <x:c r="Q35" s="8" t="str">
        <x:v>Reason for stopping last employment</x:v>
      </x:c>
      <x:c r="R35" s="8" t="str">
        <x:v>Physical and social harassment</x:v>
      </x:c>
      <x:c r="S35" s="8" t="str">
        <x:v>Rwanda</x:v>
      </x:c>
      <x:c r="T35" s="8" t="str">
        <x:v>Total</x:v>
      </x:c>
      <x:c r="U35" s="8" t="str">
        <x:v>RW/National</x:v>
      </x:c>
      <x:c r="V35" s="8" t="str">
        <x:v>Total</x:v>
      </x:c>
      <x:c r="W35" s="8" t="str">
        <x:v>Excel direct cell</x:v>
      </x:c>
      <x:c r="X35" s="8" t="str">
        <x:v>Medium</x:v>
      </x:c>
      <x:c r="Y35" s="8" t="str">
        <x:v>Needs Review</x:v>
      </x:c>
      <x:c r="Z35" s="8" t="str">
        <x:v>Pending NISR reviewer</x:v>
      </x:c>
      <x:c r="AA35" s="8" t="str">
        <x:v>This is a proxy and does not measure personal discrimination/harassment as defined by SDG 10.3.1; policy approval required.</x:v>
      </x:c>
    </x:row>
    <x:row r="36" ht="52.79999923706055" hidden="0" customHeight="1">
      <x:c r="A36" s="8" t="str">
        <x:v>MAP-035</x:v>
      </x:c>
      <x:c r="B36" s="8" t="str">
        <x:v>11.1.1</x:v>
      </x:c>
      <x:c r="C36" s="8" t="str">
        <x:v>Proportion of urban population living in slums, informal settlements or inade...</x:v>
      </x:c>
      <x:c r="D36" s="8" t="str">
        <x:v>_L_RW_110101_1</x:v>
      </x:c>
      <x:c r="E36" s="8" t="str">
        <x:v>Distribution of Households living in unplanned urban housing</x:v>
      </x:c>
      <x:c r="F36" s="8" t="str">
        <x:v>PT</x:v>
      </x:c>
      <x:c r="G36" s="8" t="str">
        <x:v>EICV and RPHC5 2022, NISR</x:v>
      </x:c>
      <x:c r="H36" s="8" t="n">
        <x:v>2024</x:v>
      </x:c>
      <x:c r="I36" s="8" t="n">
        <x:v>22.4</x:v>
      </x:c>
      <x:c r="J36" s="8" t="str">
        <x:v>EICV</x:v>
      </x:c>
      <x:c r="K36" s="8" t="str">
        <x:v>EICV7 Main Indicators Report 2023/24</x:v>
      </x:c>
      <x:c r="L36" s="8" t="n">
        <x:v>2025</x:v>
      </x:c>
      <x:c r="M36" s="8" t="str">
        <x:v>PDF</x:v>
      </x:c>
      <x:c r="N36" s="8" t="str">
        <x:v>https://statistics.gov.rw/sites/default/files/documents/2025-07/EICV7_Main%20Indicator%20Report.pdf</x:v>
      </x:c>
      <x:c r="O36" s="8" t="str">
        <x:v>p. 51</x:v>
      </x:c>
      <x:c r="P36" s="8" t="str">
        <x:v>Table 5.2</x:v>
      </x:c>
      <x:c r="Q36" s="8" t="str">
        <x:v>Households by type of habitat</x:v>
      </x:c>
      <x:c r="R36" s="8" t="str">
        <x:v>Spontaneous/informal/unplanned housing</x:v>
      </x:c>
      <x:c r="S36" s="8" t="str">
        <x:v>Urban households</x:v>
      </x:c>
      <x:c r="T36" s="8" t="str">
        <x:v>Habitat type</x:v>
      </x:c>
      <x:c r="U36" s="8" t="str">
        <x:v>RW/National</x:v>
      </x:c>
      <x:c r="V36" s="8" t="str">
        <x:v>Total</x:v>
      </x:c>
      <x:c r="W36" s="8" t="str">
        <x:v>PDF table extraction</x:v>
      </x:c>
      <x:c r="X36" s="8" t="str">
        <x:v>Medium</x:v>
      </x:c>
      <x:c r="Y36" s="8" t="str">
        <x:v>Needs Review</x:v>
      </x:c>
      <x:c r="Z36" s="8" t="str">
        <x:v>Pending NISR reviewer</x:v>
      </x:c>
      <x:c r="AA36" s="8" t="str">
        <x:v>The Data-sheet latest value is from 2017; update only after confirming whether the denominator is urban households or all households.</x:v>
      </x:c>
    </x:row>
    <x:row r="37" ht="52.79999923706055" hidden="0" customHeight="1">
      <x:c r="A37" s="8" t="str">
        <x:v>MAP-036</x:v>
      </x:c>
      <x:c r="B37" s="8" t="str">
        <x:v>16.1.3</x:v>
      </x:c>
      <x:c r="C37" s="8" t="str">
        <x:v>Proportion of population subjected to physical, psychological or sexual viole...</x:v>
      </x:c>
      <x:c r="D37" s="8" t="str">
        <x:v>_L_RW_160103_1</x:v>
      </x:c>
      <x:c r="E37" s="8" t="str">
        <x:v>Percent of women and  men, age 15-49 have experienced physical violence withi...</x:v>
      </x:c>
      <x:c r="F37" s="8" t="str">
        <x:v>PT</x:v>
      </x:c>
      <x:c r="G37" s="8" t="str">
        <x:v>DHS, NISR</x:v>
      </x:c>
      <x:c r="H37" s="8" t="n">
        <x:v>2020</x:v>
      </x:c>
      <x:c r="I37" s="8" t="n">
        <x:v>9</x:v>
      </x:c>
      <x:c r="J37" s="8" t="str">
        <x:v>DHS</x:v>
      </x:c>
      <x:c r="K37" s="8" t="str">
        <x:v>Rwanda DHS 2019–20 Final Report</x:v>
      </x:c>
      <x:c r="L37" s="8" t="n">
        <x:v>2021</x:v>
      </x:c>
      <x:c r="M37" s="8" t="str">
        <x:v>PDF</x:v>
      </x:c>
      <x:c r="N37" s="8" t="str">
        <x:v>https://www.statistics.gov.rw/sites/default/files/documents/2025-01/Rwanda%20DHS%202019-20_FINAL%20REPORT_N.pdf</x:v>
      </x:c>
      <x:c r="O37" s="8" t="str">
        <x:v>Domestic violence chapter</x:v>
      </x:c>
      <x:c r="P37" s="8" t="str">
        <x:v>Table 16.9.1 / related tables</x:v>
      </x:c>
      <x:c r="Q37" s="8" t="str">
        <x:v>Experience of physical violence</x:v>
      </x:c>
      <x:c r="R37" s="8" t="str">
        <x:v>Physical violence in past 12 months</x:v>
      </x:c>
      <x:c r="S37" s="8" t="str">
        <x:v>Women and men 15–49</x:v>
      </x:c>
      <x:c r="T37" s="8" t="str">
        <x:v>Total</x:v>
      </x:c>
      <x:c r="U37" s="8" t="str">
        <x:v>RW/National</x:v>
      </x:c>
      <x:c r="V37" s="8" t="str">
        <x:v>Total</x:v>
      </x:c>
      <x:c r="W37" s="8" t="str">
        <x:v>PDF table extraction</x:v>
      </x:c>
      <x:c r="X37" s="8" t="str">
        <x:v>Medium</x:v>
      </x:c>
      <x:c r="Y37" s="8" t="str">
        <x:v>Needs Review</x:v>
      </x:c>
      <x:c r="Z37" s="8" t="str">
        <x:v>Pending NISR reviewer</x:v>
      </x:c>
      <x:c r="AA37" s="8" t="str">
        <x:v>Dashboard combines women and men; confirm weighting and exact violence definition.</x:v>
      </x:c>
    </x:row>
    <x:row r="38" ht="39.599998474121094" hidden="0" customHeight="1">
      <x:c r="A38" s="8" t="str">
        <x:v>MAP-037</x:v>
      </x:c>
      <x:c r="B38" s="8" t="str">
        <x:v>16.b.1</x:v>
      </x:c>
      <x:c r="C38" s="8" t="str">
        <x:v>Proportion of population reporting having personally felt discriminated again...</x:v>
      </x:c>
      <x:c r="D38" s="8" t="str">
        <x:v>_L_RW_160b01_1</x:v>
      </x:c>
      <x:c r="E38" s="8" t="str">
        <x:v>Reason for stopping last employment/ Physical and social harassment</x:v>
      </x:c>
      <x:c r="F38" s="8" t="str">
        <x:v>PT</x:v>
      </x:c>
      <x:c r="G38" s="8" t="str">
        <x:v>LFS, NISR</x:v>
      </x:c>
      <x:c r="H38" s="8" t="n">
        <x:v>2023</x:v>
      </x:c>
      <x:c r="I38" s="8" t="n">
        <x:v>0.2</x:v>
      </x:c>
      <x:c r="J38" s="8" t="str">
        <x:v>LFS</x:v>
      </x:c>
      <x:c r="K38" s="8" t="str">
        <x:v>Labour Force Survey annual/microdata output</x:v>
      </x:c>
      <x:c r="L38" s="8" t="n">
        <x:v>2024</x:v>
      </x:c>
      <x:c r="M38" s="8" t="str">
        <x:v>Excel</x:v>
      </x:c>
      <x:c r="N38" s="8" t="str">
        <x:v>https://statistics.gov.rw/sites/default/files/documents/2025-05/Annual%20Report%20LFS%202024.pdf</x:v>
      </x:c>
      <x:c r="O38" s="8" t="str">
        <x:v>Reason for stopping last employment</x:v>
      </x:c>
      <x:c r="P38" s="8" t="str">
        <x:v>Not verified</x:v>
      </x:c>
      <x:c r="Q38" s="8" t="str">
        <x:v>Reason for stopping last employment</x:v>
      </x:c>
      <x:c r="R38" s="8" t="str">
        <x:v>Physical and social harassment</x:v>
      </x:c>
      <x:c r="S38" s="8" t="str">
        <x:v>Rwanda</x:v>
      </x:c>
      <x:c r="T38" s="8" t="str">
        <x:v>Total</x:v>
      </x:c>
      <x:c r="U38" s="8" t="str">
        <x:v>RW/National</x:v>
      </x:c>
      <x:c r="V38" s="8" t="str">
        <x:v>Total</x:v>
      </x:c>
      <x:c r="W38" s="8" t="str">
        <x:v>Excel direct cell</x:v>
      </x:c>
      <x:c r="X38" s="8" t="str">
        <x:v>Medium</x:v>
      </x:c>
      <x:c r="Y38" s="8" t="str">
        <x:v>Needs Review</x:v>
      </x:c>
      <x:c r="Z38" s="8" t="str">
        <x:v>Pending NISR reviewer</x:v>
      </x:c>
      <x:c r="AA38" s="8" t="str">
        <x:v>Same proxy issue as MAP-034; it does not directly measure SDG 16.b.1 discrimination.</x:v>
      </x:c>
    </x:row>
    <x:row r="39" ht="39.599998474121094" hidden="0" customHeight="1">
      <x:c r="A39" s="8" t="str">
        <x:v>MAP-038</x:v>
      </x:c>
      <x:c r="B39" s="8" t="str">
        <x:v>17.8.1</x:v>
      </x:c>
      <x:c r="C39" s="8" t="str">
        <x:v>Proportion of individuals using the Internet</x:v>
      </x:c>
      <x:c r="D39" s="8" t="str">
        <x:v>IT_USE_II99</x:v>
      </x:c>
      <x:c r="E39" s="8" t="str">
        <x:v>Proportion of individuals using the Internet</x:v>
      </x:c>
      <x:c r="F39" s="8" t="str">
        <x:v>PT</x:v>
      </x:c>
      <x:c r="G39" s="8" t="str">
        <x:v>DHS , RPHC5, NISR</x:v>
      </x:c>
      <x:c r="H39" s="8" t="n">
        <x:v>2022</x:v>
      </x:c>
      <x:c r="I39" s="8" t="n">
        <x:v>16.2</x:v>
      </x:c>
      <x:c r="J39" s="8" t="str">
        <x:v>DHS</x:v>
      </x:c>
      <x:c r="K39" s="8" t="str">
        <x:v>Fifth Rwanda Population and Housing Census 2022—Main Indicators Report</x:v>
      </x:c>
      <x:c r="L39" s="8" t="n">
        <x:v>2023</x:v>
      </x:c>
      <x:c r="M39" s="8" t="str">
        <x:v>PDF</x:v>
      </x:c>
      <x:c r="N39" s="8" t="str">
        <x:v>https://www.statistics.gov.rw/sites/default/files/documents/2025-02/RPHC5_MainIndicatorsReport_Final.pdf</x:v>
      </x:c>
      <x:c r="O39" s="8" t="str">
        <x:v>p. 23</x:v>
      </x:c>
      <x:c r="P39" s="8" t="str">
        <x:v>Table 20</x:v>
      </x:c>
      <x:c r="Q39" s="8" t="str">
        <x:v>Population who used internet by province and age group</x:v>
      </x:c>
      <x:c r="R39" s="8" t="str">
        <x:v>Used internet</x:v>
      </x:c>
      <x:c r="S39" s="8" t="str">
        <x:v>Population 16+</x:v>
      </x:c>
      <x:c r="T39" s="8" t="str">
        <x:v>Percentage</x:v>
      </x:c>
      <x:c r="U39" s="8" t="str">
        <x:v>RW/National</x:v>
      </x:c>
      <x:c r="V39" s="8" t="str">
        <x:v>Total</x:v>
      </x:c>
      <x:c r="W39" s="8" t="str">
        <x:v>PDF table extraction</x:v>
      </x:c>
      <x:c r="X39" s="8" t="str">
        <x:v>High</x:v>
      </x:c>
      <x:c r="Y39" s="8" t="str">
        <x:v>Ready</x:v>
      </x:c>
      <x:c r="Z39" s="8" t="str">
        <x:v>Source checked</x:v>
      </x:c>
      <x:c r="AA39" s="8" t="str">
        <x:v>Use the 16+ total percentage (approximately 16.2%); do not use the 10+ denominator.</x:v>
      </x:c>
    </x:row>
    <x:row r="40" ht="52.79999923706055" hidden="0" customHeight="1">
      <x:c r="A40" s="8" t="str">
        <x:v>MAP-039</x:v>
      </x:c>
      <x:c r="B40" s="8" t="str">
        <x:v>17.13.1</x:v>
      </x:c>
      <x:c r="C40" s="8" t="str">
        <x:v>Macroeconomic Dashboard</x:v>
      </x:c>
      <x:c r="D40" s="8" t="str">
        <x:v>MD_NY_GDP_PCAP</x:v>
      </x:c>
      <x:c r="E40" s="8" t="str">
        <x:v>Annual growth rate of real GDP per capita</x:v>
      </x:c>
      <x:c r="F40" s="8" t="str">
        <x:v>PT</x:v>
      </x:c>
      <x:c r="G40" s="8" t="str">
        <x:v>National Accounts, NISR</x:v>
      </x:c>
      <x:c r="H40" s="8" t="n">
        <x:v>2024</x:v>
      </x:c>
      <x:c r="I40" s="8" t="n">
        <x:v>6.5</x:v>
      </x:c>
      <x:c r="J40" s="8" t="str">
        <x:v>National Accounts</x:v>
      </x:c>
      <x:c r="K40" s="8" t="str">
        <x:v>GDP National Accounts 2024—Annual Report</x:v>
      </x:c>
      <x:c r="L40" s="8" t="n">
        <x:v>2025</x:v>
      </x:c>
      <x:c r="M40" s="8" t="str">
        <x:v>PDF</x:v>
      </x:c>
      <x:c r="N40" s="8" t="str">
        <x:v>https://statistics.gov.rw/sites/default/files/documents/2025-03/GDP%20National%20Accounts%202024%20Annual.pdf</x:v>
      </x:c>
      <x:c r="O40" s="8" t="str">
        <x:v>National accounts time series</x:v>
      </x:c>
      <x:c r="P40" s="8" t="str">
        <x:v>Unnumbered/derived</x:v>
      </x:c>
      <x:c r="Q40" s="8" t="str">
        <x:v>Annual growth rate of real GDP per capita</x:v>
      </x:c>
      <x:c r="R40" s="8" t="str">
        <x:v>Real GDP per capita growth</x:v>
      </x:c>
      <x:c r="S40" s="8" t="str">
        <x:v>Rwanda</x:v>
      </x:c>
      <x:c r="T40" s="8" t="str">
        <x:v>2024</x:v>
      </x:c>
      <x:c r="U40" s="8" t="str">
        <x:v>RW/National</x:v>
      </x:c>
      <x:c r="V40" s="8" t="str">
        <x:v>Total</x:v>
      </x:c>
      <x:c r="W40" s="8" t="str">
        <x:v>Excel direct cell</x:v>
      </x:c>
      <x:c r="X40" s="8" t="str">
        <x:v>Medium</x:v>
      </x:c>
      <x:c r="Y40" s="8" t="str">
        <x:v>Needs Review</x:v>
      </x:c>
      <x:c r="Z40" s="8" t="str">
        <x:v>Pending NISR reviewer</x:v>
      </x:c>
      <x:c r="AA40" s="8" t="str">
        <x:v>Duplicate economic series of MAP-025; both mappings should point to one reusable extraction rule.</x:v>
      </x:c>
    </x:row>
    <x:row r="41" ht="92.4000015258789" hidden="0" customHeight="1">
      <x:c r="A41" s="8" t="str">
        <x:v>MAP-040</x:v>
      </x:c>
      <x:c r="B41" s="8" t="str">
        <x:v>17.18.1</x:v>
      </x:c>
      <x:c r="C41" s="8" t="str">
        <x:v>Statistical capacity indicator for Sustainable Development Goal monitoring</x:v>
      </x:c>
      <x:c r="D41" s="8" t="str">
        <x:v>SD_SDG_AVLB</x:v>
      </x:c>
      <x:c r="E41" s="8" t="str">
        <x:v>Proportion of sustainable development indicators produced at the national level with full disaggregation when relevant to the target, in accordance with the Fundamental Principles of Official Statistics</x:v>
      </x:c>
      <x:c r="F41" s="8" t="str">
        <x:v>PT</x:v>
      </x:c>
      <x:c r="G41" s="8" t="str">
        <x:v>NISR, SDG Platfoarm</x:v>
      </x:c>
      <x:c r="H41" s="8" t="n">
        <x:v>2023</x:v>
      </x:c>
      <x:c r="I41" s="8" t="n">
        <x:v>36</x:v>
      </x:c>
      <x:c r="J41" s="8" t="str">
        <x:v>Other NISR</x:v>
      </x:c>
      <x:c r="K41" s="8" t="str">
        <x:v>Rwanda SDG Data Platform administrative monitoring output</x:v>
      </x:c>
      <x:c r="L41" s="8" t="n">
        <x:v>2024</x:v>
      </x:c>
      <x:c r="M41" s="8" t="str">
        <x:v>Excel</x:v>
      </x:c>
      <x:c r="N41" s="8" t="str">
        <x:v>https://data.gov.rw/</x:v>
      </x:c>
      <x:c r="O41" s="8" t="str">
        <x:v>Platform export</x:v>
      </x:c>
      <x:c r="P41" s="8" t="str">
        <x:v>Not a published table</x:v>
      </x:c>
      <x:c r="Q41" s="8" t="str">
        <x:v>National SDG indicator availability and disaggregation</x:v>
      </x:c>
      <x:c r="R41" s="8" t="str">
        <x:v>Indicators fully produced and disaggregated</x:v>
      </x:c>
      <x:c r="S41" s="8" t="str">
        <x:v>Rwanda</x:v>
      </x:c>
      <x:c r="T41" s="8" t="str">
        <x:v>Reporting year</x:v>
      </x:c>
      <x:c r="U41" s="8" t="str">
        <x:v>RW/National</x:v>
      </x:c>
      <x:c r="V41" s="8" t="str">
        <x:v>Total</x:v>
      </x:c>
      <x:c r="W41" s="8" t="str">
        <x:v>Excel direct cell</x:v>
      </x:c>
      <x:c r="X41" s="8" t="str">
        <x:v>Medium</x:v>
      </x:c>
      <x:c r="Y41" s="8" t="str">
        <x:v>Needs Review</x:v>
      </x:c>
      <x:c r="Z41" s="8" t="str">
        <x:v>Pending NISR reviewer</x:v>
      </x:c>
      <x:c r="AA41" s="8" t="str">
        <x:v>Define numerator, denominator and platform export version before automation; workbook source misspells ‘Platform’.</x:v>
      </x:c>
    </x:row>
  </x:sheetData>
  <x:conditionalFormatting sqref="Y2:Y41">
    <x:cfRule type="expression" dxfId="4" priority="1">
      <x:formula>Y2="Ready"</x:formula>
    </x:cfRule>
    <x:cfRule type="expression" dxfId="3" priority="2">
      <x:formula>Y2="To Map"</x:formula>
    </x:cfRule>
    <x:cfRule type="expression" dxfId="2" priority="3">
      <x:formula>Y2="Needs Review"</x:formula>
    </x:cfRule>
  </x:conditionalFormatting>
  <x:pageMargins left="0.7" right="0.7" top="0.75" bottom="0.75" header="0.3" footer="0.3"/>
  <x:tableParts count="1">
    <x:tablePart xmlns:r="http://schemas.openxmlformats.org/officeDocument/2006/relationships" r:id="R753ceb2632574e0c"/>
  </x:tableParts>
</x:worksheet>
</file>

<file path=xl/worksheets/sheet4.xml><?xml version="1.0" encoding="utf-8"?>
<x:worksheet xmlns:x="http://schemas.openxmlformats.org/spreadsheetml/2006/main">
  <x:sheetFormatPr defaultRowHeight="14.399999618530273"/>
  <x:cols>
    <x:col min="1" max="2" width="18" customWidth="1"/>
    <x:col min="3" max="3" width="28" customWidth="1"/>
    <x:col min="4" max="4" width="18" customWidth="1"/>
    <x:col min="5" max="5" width="28" customWidth="1"/>
    <x:col min="6" max="6" width="18" customWidth="1"/>
    <x:col min="7" max="7" width="28" customWidth="1"/>
    <x:col min="8" max="9" width="18" customWidth="1"/>
    <x:col min="10" max="11" width="28" customWidth="1"/>
  </x:cols>
  <x:sheetData>
    <x:row r="1" ht="14.399999618530273" hidden="0" customHeight="1">
      <x:c r="A1" s="7" t="s">
        <x:v>695</x:v>
      </x:c>
      <x:c r="B1" s="7" t="s">
        <x:v>677</x:v>
      </x:c>
      <x:c r="C1" s="7" t="s">
        <x:v>678</x:v>
      </x:c>
      <x:c r="D1" s="7" t="s">
        <x:v>679</x:v>
      </x:c>
      <x:c r="E1" s="7" t="s">
        <x:v>680</x:v>
      </x:c>
      <x:c r="F1" s="7" t="s">
        <x:v>681</x:v>
      </x:c>
      <x:c r="G1" s="7" t="s">
        <x:v>696</x:v>
      </x:c>
      <x:c r="H1" s="7" t="s">
        <x:v>697</x:v>
      </x:c>
      <x:c r="I1" s="7" t="s">
        <x:v>692</x:v>
      </x:c>
      <x:c r="J1" s="7" t="s">
        <x:v>698</x:v>
      </x:c>
      <x:c r="K1" s="7" t="s">
        <x:v>694</x:v>
      </x:c>
    </x:row>
    <x:row r="2" ht="66" hidden="0" customHeight="1">
      <x:c r="A2" s="8" t="str">
        <x:v>REP-001</x:v>
      </x:c>
      <x:c r="B2" s="8" t="str">
        <x:v>DHS</x:v>
      </x:c>
      <x:c r="C2" s="8" t="str">
        <x:v>Rwanda DHS 2025 Final Report</x:v>
      </x:c>
      <x:c r="D2" s="8" t="n">
        <x:v>2026</x:v>
      </x:c>
      <x:c r="E2" s="8" t="str">
        <x:v>PDF</x:v>
      </x:c>
      <x:c r="F2" s="8" t="str">
        <x:v>https://statistics.gov.rw/sites/default/files/documents/2026-06/Rwanda-DHS-2025-Final-Report.pdf</x:v>
      </x:c>
      <x:c r="G2" s="8" t="str">
        <x:v>2026-06</x:v>
      </x:c>
      <x:c r="H2" s="8" t="str">
        <x:v>5 years</x:v>
      </x:c>
      <x:c r="I2" s="8" t="str">
        <x:v>In Progress</x:v>
      </x:c>
      <x:c r="J2" s="8" t="str">
        <x:v>NISR health statistics</x:v>
      </x:c>
      <x:c r="K2" s="8" t="str">
        <x:v>DHS chart/table numbers for several dashboard proxies still need reviewer confirmation.</x:v>
      </x:c>
    </x:row>
    <x:row r="3" ht="66" hidden="0" customHeight="1">
      <x:c r="A3" s="8" t="str">
        <x:v>REP-002</x:v>
      </x:c>
      <x:c r="B3" s="8" t="str">
        <x:v>EICV</x:v>
      </x:c>
      <x:c r="C3" s="8" t="str">
        <x:v>EICV7 Main Indicators Report 2023/24</x:v>
      </x:c>
      <x:c r="D3" s="8" t="n">
        <x:v>2025</x:v>
      </x:c>
      <x:c r="E3" s="8" t="str">
        <x:v>PDF</x:v>
      </x:c>
      <x:c r="F3" s="8" t="str">
        <x:v>https://statistics.gov.rw/sites/default/files/documents/2025-07/EICV7_Main%20Indicator%20Report.pdf</x:v>
      </x:c>
      <x:c r="G3" s="8" t="str">
        <x:v>2025-04</x:v>
      </x:c>
      <x:c r="H3" s="8" t="str">
        <x:v>Periodic</x:v>
      </x:c>
      <x:c r="I3" s="8" t="str">
        <x:v>Ready</x:v>
      </x:c>
      <x:c r="J3" s="8" t="str">
        <x:v>NISR household surveys</x:v>
      </x:c>
      <x:c r="K3" s="8" t="str">
        <x:v>Primary EICV source; MPI uses a separate EICV7 thematic report.</x:v>
      </x:c>
    </x:row>
    <x:row r="4" ht="66" hidden="0" customHeight="1">
      <x:c r="A4" s="8" t="str">
        <x:v>REP-003</x:v>
      </x:c>
      <x:c r="B4" s="8" t="str">
        <x:v>Food Balance Sheets</x:v>
      </x:c>
      <x:c r="C4" s="8" t="str">
        <x:v>Rwanda Food Balance Sheets 2023–2024</x:v>
      </x:c>
      <x:c r="D4" s="8" t="n">
        <x:v>2025</x:v>
      </x:c>
      <x:c r="E4" s="8" t="str">
        <x:v>PDF</x:v>
      </x:c>
      <x:c r="F4" s="8" t="str">
        <x:v>https://www.statistics.gov.rw/sites/default/files/documents/2025-09/Rwanda_Food_Balace%20Sheet_2023_24_.pdf</x:v>
      </x:c>
      <x:c r="G4" s="8" t="str">
        <x:v>2025</x:v>
      </x:c>
      <x:c r="H4" s="8" t="str">
        <x:v>Annual</x:v>
      </x:c>
      <x:c r="I4" s="8" t="str">
        <x:v>Ready</x:v>
      </x:c>
      <x:c r="J4" s="8" t="str">
        <x:v>NISR agriculture statistics</x:v>
      </x:c>
      <x:c r="K4" s="8" t="str">
        <x:v>PoU mapped to Table 14.</x:v>
      </x:c>
    </x:row>
    <x:row r="5" ht="66" hidden="0" customHeight="1">
      <x:c r="A5" s="8" t="str">
        <x:v>REP-004</x:v>
      </x:c>
      <x:c r="B5" s="8" t="str">
        <x:v>LFS</x:v>
      </x:c>
      <x:c r="C5" s="8" t="str">
        <x:v>Labour Force Survey Annual Report 2024</x:v>
      </x:c>
      <x:c r="D5" s="8" t="n">
        <x:v>2025</x:v>
      </x:c>
      <x:c r="E5" s="8" t="str">
        <x:v>PDF</x:v>
      </x:c>
      <x:c r="F5" s="8" t="str">
        <x:v>https://statistics.gov.rw/sites/default/files/documents/2025-05/Annual%20Report%20LFS%202024.pdf</x:v>
      </x:c>
      <x:c r="G5" s="8" t="str">
        <x:v>2025-05</x:v>
      </x:c>
      <x:c r="H5" s="8" t="str">
        <x:v>Annual</x:v>
      </x:c>
      <x:c r="I5" s="8" t="str">
        <x:v>In Progress</x:v>
      </x:c>
      <x:c r="J5" s="8" t="str">
        <x:v>NISR labour statistics</x:v>
      </x:c>
      <x:c r="K5" s="8" t="str">
        <x:v>Published summary indicators mapped; microdata-derived proxy indicators need review.</x:v>
      </x:c>
    </x:row>
    <x:row r="6" ht="66" hidden="0" customHeight="1">
      <x:c r="A6" s="8" t="str">
        <x:v>REP-005</x:v>
      </x:c>
      <x:c r="B6" s="8" t="str">
        <x:v>National Accounts</x:v>
      </x:c>
      <x:c r="C6" s="8" t="str">
        <x:v>GDP National Accounts 2024—Annual Report</x:v>
      </x:c>
      <x:c r="D6" s="8" t="n">
        <x:v>2025</x:v>
      </x:c>
      <x:c r="E6" s="8" t="str">
        <x:v>PDF</x:v>
      </x:c>
      <x:c r="F6" s="8" t="str">
        <x:v>https://statistics.gov.rw/sites/default/files/documents/2025-03/GDP%20National%20Accounts%202024%20Annual.pdf</x:v>
      </x:c>
      <x:c r="G6" s="8" t="str">
        <x:v>2025-03</x:v>
      </x:c>
      <x:c r="H6" s="8" t="str">
        <x:v>Annual</x:v>
      </x:c>
      <x:c r="I6" s="8" t="str">
        <x:v>In Progress</x:v>
      </x:c>
      <x:c r="J6" s="8" t="str">
        <x:v>NISR economic statistics</x:v>
      </x:c>
      <x:c r="K6" s="8" t="str">
        <x:v>Automation should use the official Excel time series for derived ratios/per-capita growth.</x:v>
      </x:c>
    </x:row>
    <x:row r="7" ht="39.599998474121094" hidden="0" customHeight="1">
      <x:c r="A7" s="8" t="str">
        <x:v>REP-006</x:v>
      </x:c>
      <x:c r="B7" s="8" t="str">
        <x:v>Other NISR</x:v>
      </x:c>
      <x:c r="C7" s="8" t="str">
        <x:v>CFSVA 2024 / Statistical Yearbook 2024 / RPHC5 Main Indicators / SDG Platform</x:v>
      </x:c>
      <x:c r="D7" s="8" t="n">
        <x:v>2025</x:v>
      </x:c>
      <x:c r="E7" s="8" t="str">
        <x:v>PDF+Excel</x:v>
      </x:c>
      <x:c r="F7" s="8" t="str">
        <x:v>See individual mapping links</x:v>
      </x:c>
      <x:c r="G7" s="8"/>
      <x:c r="H7" s="8" t="str">
        <x:v>Mixed</x:v>
      </x:c>
      <x:c r="I7" s="8" t="str">
        <x:v>In Progress</x:v>
      </x:c>
      <x:c r="J7" s="8" t="str">
        <x:v>Relevant NISR units</x:v>
      </x:c>
      <x:c r="K7" s="8" t="str">
        <x:v>This family contains multiple independent publications; use the mapping-level link and rule.</x:v>
      </x:c>
    </x:row>
  </x:sheetData>
  <x:pageMargins left="0.7" right="0.7" top="0.75" bottom="0.75" header="0.3" footer="0.3"/>
  <x:tableParts count="1">
    <x:tablePart xmlns:r="http://schemas.openxmlformats.org/officeDocument/2006/relationships" r:id="Rcb1f40f93e5349e7"/>
  </x:tableParts>
</x:worksheet>
</file>

<file path=xl/worksheets/sheet5.xml><?xml version="1.0" encoding="utf-8"?>
<x:worksheet xmlns:x="http://schemas.openxmlformats.org/spreadsheetml/2006/main">
  <x:sheetFormatPr defaultRowHeight="14.399999618530273"/>
  <x:cols>
    <x:col min="1" max="2" width="18" customWidth="1"/>
    <x:col min="3" max="3" width="28" customWidth="1"/>
    <x:col min="4" max="4" width="18" customWidth="1"/>
    <x:col min="5" max="5" width="28" customWidth="1"/>
    <x:col min="6" max="6" width="18" customWidth="1"/>
    <x:col min="7" max="7" width="28" customWidth="1"/>
    <x:col min="8" max="9" width="18" customWidth="1"/>
    <x:col min="10" max="11" width="28" customWidth="1"/>
    <x:col min="12" max="13" width="18" customWidth="1"/>
    <x:col min="14" max="14" width="28" customWidth="1"/>
  </x:cols>
  <x:sheetData>
    <x:row r="1">
      <x:c r="A1" s="7" t="s">
        <x:v>699</x:v>
      </x:c>
      <x:c r="B1" s="7" t="s">
        <x:v>672</x:v>
      </x:c>
      <x:c r="C1" s="7" t="s">
        <x:v>0</x:v>
      </x:c>
      <x:c r="D1" s="7" t="s">
        <x:v>2</x:v>
      </x:c>
      <x:c r="E1" s="7" t="s">
        <x:v>700</x:v>
      </x:c>
      <x:c r="F1" s="7" t="s">
        <x:v>701</x:v>
      </x:c>
      <x:c r="G1" s="7" t="s">
        <x:v>702</x:v>
      </x:c>
      <x:c r="H1" s="7" t="s">
        <x:v>703</x:v>
      </x:c>
      <x:c r="I1" s="7" t="s">
        <x:v>704</x:v>
      </x:c>
      <x:c r="J1" s="7" t="s">
        <x:v>705</x:v>
      </x:c>
      <x:c r="K1" s="7" t="s">
        <x:v>706</x:v>
      </x:c>
      <x:c r="L1" s="7" t="s">
        <x:v>707</x:v>
      </x:c>
      <x:c r="M1" s="7" t="s">
        <x:v>692</x:v>
      </x:c>
      <x:c r="N1" s="7" t="s">
        <x:v>708</x:v>
      </x:c>
    </x:row>
    <x:row r="2">
      <x:c r="A2" s="8" t="s">
        <x:v>709</x:v>
      </x:c>
      <x:c r="B2" s="8"/>
      <x:c r="C2" s="8"/>
      <x:c r="D2" s="8"/>
      <x:c r="E2" s="8"/>
      <x:c r="F2" s="8"/>
      <x:c r="G2" s="8"/>
      <x:c r="H2" s="8" t="str">
        <x:f>IF(OR(F2="",G2=""),"",G2-F2)</x:f>
      </x:c>
      <x:c r="I2" s="8"/>
      <x:c r="J2" s="8"/>
      <x:c r="K2" s="8"/>
      <x:c r="L2" s="8"/>
      <x:c r="M2" s="8" t="s">
        <x:v>710</x:v>
      </x:c>
      <x:c r="N2" s="8"/>
    </x:row>
  </x:sheetData>
  <x:conditionalFormatting sqref="M2:M200">
    <x:cfRule type="expression" dxfId="1" priority="1">
      <x:formula>M2="Approved"</x:formula>
    </x:cfRule>
    <x:cfRule type="expression" dxfId="0" priority="2">
      <x:formula>M2="Pending Review"</x:formula>
    </x:cfRule>
  </x:conditionalFormatting>
  <x:dataValidations count="1">
    <x:dataValidation type="list" sqref="M2:M200">
      <x:formula1>"Pending Review,Approved,Rejected,Needs Correction"</x:formula1>
    </x:dataValidation>
  </x:dataValidations>
  <x:pageMargins left="0.7" right="0.7" top="0.75" bottom="0.75" header="0.3" footer="0.3"/>
  <x:tableParts count="1">
    <x:tablePart xmlns:r="http://schemas.openxmlformats.org/officeDocument/2006/relationships" r:id="R3dcbc59f969b4eb3"/>
  </x:tableParts>
</x:worksheet>
</file>

<file path=xl/worksheets/sheet6.xml><?xml version="1.0" encoding="utf-8"?>
<x:worksheet xmlns:x="http://schemas.openxmlformats.org/spreadsheetml/2006/main">
  <x:sheetFormatPr defaultRowHeight="14.399999618530273"/>
  <x:cols>
    <x:col min="1" max="1" width="11" customWidth="1"/>
    <x:col min="2" max="2" width="11.21875" customWidth="1"/>
    <x:col min="3" max="3" width="15.6640625" customWidth="1"/>
    <x:col min="4" max="4" width="12.6640625" customWidth="1"/>
  </x:cols>
  <x:sheetData>
    <x:row r="1">
      <x:c r="A1" s="6" t="s">
        <x:v>711</x:v>
      </x:c>
      <x:c r="B1" s="6" t="s">
        <x:v>712</x:v>
      </x:c>
      <x:c r="C1" s="6" t="s">
        <x:v>713</x:v>
      </x:c>
      <x:c r="D1" s="6" t="s">
        <x:v>714</x:v>
      </x:c>
    </x:row>
    <x:row r="2">
      <x:c r="A2" t="s">
        <x:v>715</x:v>
      </x:c>
      <x:c r="B2" t="s">
        <x:v>716</x:v>
      </x:c>
      <x:c r="C2" t="s">
        <x:v>717</x:v>
      </x:c>
      <x:c r="D2" t="s">
        <x:v>718</x:v>
      </x:c>
    </x:row>
    <x:row r="3">
      <x:c r="A3" t="s">
        <x:v>719</x:v>
      </x:c>
      <x:c r="B3" t="s">
        <x:v>720</x:v>
      </x:c>
      <x:c r="C3" t="s">
        <x:v>721</x:v>
      </x:c>
      <x:c r="D3" t="s">
        <x:v>722</x:v>
      </x:c>
    </x:row>
    <x:row r="4">
      <x:c r="A4" t="s">
        <x:v>723</x:v>
      </x:c>
      <x:c r="B4" t="s">
        <x:v>724</x:v>
      </x:c>
      <x:c r="C4" t="s">
        <x:v>725</x:v>
      </x:c>
      <x:c r="D4" t="s">
        <x:v>726</x:v>
      </x:c>
    </x:row>
    <x:row r="5">
      <x:c r="A5" t="s">
        <x:v>727</x:v>
      </x:c>
      <x:c r="C5" t="s">
        <x:v>728</x:v>
      </x:c>
    </x:row>
    <x:row r="6">
      <x:c r="A6" t="s">
        <x:v>729</x:v>
      </x:c>
    </x:row>
    <x:row r="7">
      <x:c r="A7" t="s">
        <x:v>730</x:v>
      </x:c>
    </x:row>
    <x:row r="8">
      <x:c r="A8" t="s">
        <x:v>731</x:v>
      </x:c>
    </x:row>
  </x:sheetData>
  <x:pageMargins left="0.7" right="0.7" top="0.75" bottom="0.75" header="0.3" footer="0.3"/>
</x:worksheet>
</file>

<file path=xl/worksheets/sheet7.xml><?xml version="1.0" encoding="utf-8"?>
<x:worksheet xmlns:x="http://schemas.openxmlformats.org/spreadsheetml/2006/main">
  <x:sheetFormatPr defaultRowHeight="14.399999618530273"/>
  <x:cols>
    <x:col min="1" max="1" width="34" customWidth="1"/>
    <x:col min="2" max="2" width="26" customWidth="1"/>
  </x:cols>
  <x:sheetData>
    <x:row r="1">
      <x:c r="A1" s="7" t="s">
        <x:v>732</x:v>
      </x:c>
      <x:c r="B1" s="7" t="s">
        <x:v>733</x:v>
      </x:c>
    </x:row>
    <x:row r="2" ht="57.599998474121094">
      <x:c r="A2" s="8" t="s">
        <x:v>734</x:v>
      </x:c>
      <x:c r="B2" s="8" t="s">
        <x:v>735</x:v>
      </x:c>
    </x:row>
    <x:row r="3">
      <x:c r="A3" s="8" t="s">
        <x:v>736</x:v>
      </x:c>
      <x:c r="B3" s="8">
        <x:v>40</x:v>
      </x:c>
    </x:row>
    <x:row r="4">
      <x:c r="A4" s="8" t="s">
        <x:v>737</x:v>
      </x:c>
      <x:c r="B4" s="8">
        <x:v>6</x:v>
      </x:c>
    </x:row>
    <x:row r="5" ht="86.4000015258789">
      <x:c r="A5" s="8" t="s">
        <x:v>738</x:v>
      </x:c>
      <x:c r="B5" s="8" t="str">
        <x:v>Review rows marked ‘Needs Review’, especially SDG proxies and derived indicators; rows marked ‘Ready’ have usable extraction coordinates.</x:v>
      </x:c>
    </x:row>
    <x:row r="6" ht="57.599998474121094">
      <x:c r="A6" s="8" t="s">
        <x:v>739</x:v>
      </x:c>
      <x:c r="B6" s="8" t="s">
        <x:v>740</x:v>
      </x:c>
    </x:row>
    <x:row r="7" ht="72">
      <x:c r="A7" s="8" t="s">
        <x:v>741</x:v>
      </x:c>
      <x:c r="B7" s="8" t="s">
        <x:v>742</x:v>
      </x:c>
    </x:row>
    <x:row r="10">
      <x:c r="A10" s="9" t="s">
        <x:v>743</x:v>
      </x:c>
      <x:c r="B10" s="9" t="s">
        <x:v>744</x:v>
      </x:c>
    </x:row>
    <x:row r="11">
      <x:c r="A11" t="s">
        <x:v>745</x:v>
      </x:c>
      <x:c r="B11" t="n">
        <x:f>COUNTIF(NISR_Source_Mapping!Y:Y,"Ready")</x:f>
        <x:v>16</x:v>
      </x:c>
    </x:row>
    <x:row r="12">
      <x:c r="A12" t="s">
        <x:v>746</x:v>
      </x:c>
      <x:c r="B12" t="n">
        <x:f>COUNTIF(NISR_Source_Mapping!Y:Y,"Needs Review")</x:f>
        <x:v>24</x:v>
      </x:c>
    </x:row>
    <x:row r="13">
      <x:c r="A13" t="s">
        <x:v>747</x:v>
      </x:c>
      <x:c r="B13"/>
    </x:row>
    <x:row r="14">
      <x:c r="A14" t="s">
        <x:v>748</x:v>
      </x:c>
      <x:c r="B14"/>
    </x:row>
  </x:sheetData>
  <x:pageMargins left="0.7" right="0.7" top="0.75" bottom="0.75" header="0.3" footer="0.3"/>
  <x:tableParts count="1">
    <x:tablePart xmlns:r="http://schemas.openxmlformats.org/officeDocument/2006/relationships" r:id="Rfe81d903e2724a18"/>
  </x:tableParts>
</x:worksheet>
</file>