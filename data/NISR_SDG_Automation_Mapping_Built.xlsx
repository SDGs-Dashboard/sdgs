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pier\OneDrive\Documents\GitHub\sdg-data-rwanda\data\"/>
    </mc:Choice>
  </mc:AlternateContent>
  <xr:revisionPtr revIDLastSave="0" documentId="13_ncr:1_{9EA2F113-076A-471E-8DCA-2493C99A15D8}" xr6:coauthVersionLast="36" xr6:coauthVersionMax="36" xr10:uidLastSave="{00000000-0000-0000-0000-000000000000}"/>
  <bookViews>
    <workbookView xWindow="0" yWindow="0" windowWidth="23040" windowHeight="8364" activeTab="2" xr2:uid="{00000000-000D-0000-FFFF-FFFF00000000}"/>
  </bookViews>
  <sheets>
    <sheet name="Data" sheetId="1" r:id="rId1"/>
    <sheet name="Parameters" sheetId="2" r:id="rId2"/>
    <sheet name="NISR_Source_Mapping" sheetId="3" r:id="rId3"/>
    <sheet name="Report_Register" sheetId="4" r:id="rId4"/>
    <sheet name="Proposed_Updates" sheetId="5" r:id="rId5"/>
    <sheet name="Validation_Lists" sheetId="6" r:id="rId6"/>
    <sheet name="Automation_Guide" sheetId="7" r:id="rId7"/>
    <sheet name="Correction_Log" sheetId="8" r:id="rId8"/>
  </sheets>
  <calcPr calcId="191029"/>
</workbook>
</file>

<file path=xl/calcChain.xml><?xml version="1.0" encoding="utf-8"?>
<calcChain xmlns="http://schemas.openxmlformats.org/spreadsheetml/2006/main">
  <c r="B15" i="7" l="1"/>
  <c r="B14" i="7"/>
  <c r="B13" i="7"/>
  <c r="B12" i="7"/>
  <c r="B11" i="7"/>
  <c r="H2" i="5"/>
</calcChain>
</file>

<file path=xl/sharedStrings.xml><?xml version="1.0" encoding="utf-8"?>
<sst xmlns="http://schemas.openxmlformats.org/spreadsheetml/2006/main" count="3261" uniqueCount="1279">
  <si>
    <t>Indicator</t>
  </si>
  <si>
    <t>Series</t>
  </si>
  <si>
    <t>Series_Code</t>
  </si>
  <si>
    <t xml:space="preserve">Composite </t>
  </si>
  <si>
    <t>Unit_Code</t>
  </si>
  <si>
    <t xml:space="preserve">Occupation </t>
  </si>
  <si>
    <t>Occupation_Code</t>
  </si>
  <si>
    <t>Ref_Area</t>
  </si>
  <si>
    <t>Province</t>
  </si>
  <si>
    <t>District</t>
  </si>
  <si>
    <t>Urbanization</t>
  </si>
  <si>
    <t>Urbanization_Code</t>
  </si>
  <si>
    <t xml:space="preserve">Education </t>
  </si>
  <si>
    <t>Education_Code</t>
  </si>
  <si>
    <t>Data Source</t>
  </si>
  <si>
    <t>Description</t>
  </si>
  <si>
    <t>Seats</t>
  </si>
  <si>
    <t>Age_Code</t>
  </si>
  <si>
    <t>Age</t>
  </si>
  <si>
    <t>Sex_Code</t>
  </si>
  <si>
    <t>Sex</t>
  </si>
  <si>
    <t>Table name and number</t>
  </si>
  <si>
    <t>1.1.1</t>
  </si>
  <si>
    <t>Proportion of population below the international poverty line, by sex, age, employment status and geographical location (urban/rural)</t>
  </si>
  <si>
    <t>SI_POV_DAY1</t>
  </si>
  <si>
    <t>_T</t>
  </si>
  <si>
    <t>PT</t>
  </si>
  <si>
    <t>RW</t>
  </si>
  <si>
    <t>World Bank</t>
  </si>
  <si>
    <t>Proportion of population below international poverty line</t>
  </si>
  <si>
    <t>Not applicable—source is not an NISR publication: World Bank.</t>
  </si>
  <si>
    <t>1.2.1</t>
  </si>
  <si>
    <t>Proportion of population living below the national poverty line, by sex and age</t>
  </si>
  <si>
    <t>SI_POV_NAHC</t>
  </si>
  <si>
    <t>EICV, NISR</t>
  </si>
  <si>
    <t>Proportion of population living below the national poverty line</t>
  </si>
  <si>
    <t>1.2.2</t>
  </si>
  <si>
    <t>Proportion of men, women and children of all ages living in poverty in all its dimensions according to national definitions</t>
  </si>
  <si>
    <t>SI_POV_NMPI</t>
  </si>
  <si>
    <t>IX</t>
  </si>
  <si>
    <t>EICV and Census MPI Report, NISR</t>
  </si>
  <si>
    <t>Proportion of population living in poverty in all its dimensions according to national definitions</t>
  </si>
  <si>
    <t>Table B.5, Incidence, Intensity and MPI, by area and province (k=33.3%), p. 42, EICV7 Multidimensional Poverty Thematic Report (2025)</t>
  </si>
  <si>
    <t>1.3.1</t>
  </si>
  <si>
    <t>Proportion of population covered by social protection floors/systems, by sex, distinguishing children, unemployed persons, older persons, persons with disabilities, pregnant women, newborns, work-injury victims and the poor and the vulnerable - by Core SP programmes</t>
  </si>
  <si>
    <t>_L_RW_010301_1</t>
  </si>
  <si>
    <t>BLJSR/Social protection (Minaloc: 2021/22), RSSB, 2022/23</t>
  </si>
  <si>
    <t>Proportion of population covered by core Social Protection programs</t>
  </si>
  <si>
    <t>Not applicable—source is not an NISR publication: BLJSR/Social protection (Minaloc: 2021/22), RSSB, 2022/23.</t>
  </si>
  <si>
    <t>1.4.1</t>
  </si>
  <si>
    <t xml:space="preserve">Proportion of population living in households with access to basic services </t>
  </si>
  <si>
    <t>SP_ACS_BSRV</t>
  </si>
  <si>
    <t>BLJSR 2019/20</t>
  </si>
  <si>
    <t>Not applicable—source is not an NISR publication: BLJSR 2019/20.</t>
  </si>
  <si>
    <t>1.4.2</t>
  </si>
  <si>
    <t>Proportion of total adult population with secure tenure rights to land, with legally recognized documentation and who perceive their rights to land as secure, by sex</t>
  </si>
  <si>
    <t>SP_LGL_LNDDOC</t>
  </si>
  <si>
    <t>NUMBER</t>
  </si>
  <si>
    <t>Rwanda Land Dashboard, 2023</t>
  </si>
  <si>
    <t>Total Number of adult population who have land</t>
  </si>
  <si>
    <t>Not applicable—source is not an NISR publication: Rwanda Land Dashboard, 2023.</t>
  </si>
  <si>
    <t>1.5.1</t>
  </si>
  <si>
    <t>Number of deaths, missing persons and directly affected persons attributed to disasters per 100,000 population</t>
  </si>
  <si>
    <t>VC_DSR_MORT</t>
  </si>
  <si>
    <t>PER_100000_POP</t>
  </si>
  <si>
    <t>Annual disaster effects situation report , MINEMA</t>
  </si>
  <si>
    <t>Number of deaths due to disaster per 100,000 population</t>
  </si>
  <si>
    <t>Not applicable—source is not an NISR publication: Annual disaster effects situation report , MINEMA.</t>
  </si>
  <si>
    <t>1.5.2</t>
  </si>
  <si>
    <t>Direct economic loss attributed to disasters in relation to global gross domestic product (GDP). Proxy: Disaster effects (Unit- number)</t>
  </si>
  <si>
    <t>_L_RW_010502_1</t>
  </si>
  <si>
    <t>Number of Houses damaged by disaster</t>
  </si>
  <si>
    <t>1.5.4</t>
  </si>
  <si>
    <t xml:space="preserve">Proportion of local governments that adopt and implement local disaster risk reduction strategies in line with national disaster risk reduction strategies </t>
  </si>
  <si>
    <t>SG_DSR_SILS</t>
  </si>
  <si>
    <t>Ministry in Charge of Emergency Management (MINEMA)</t>
  </si>
  <si>
    <t>Proportion of local governments that adopt and implement local disaster risk reduction strategies in line with national disaster risk reduction strategies</t>
  </si>
  <si>
    <t>Not applicable—source is not an NISR publication: Ministry in Charge of Emergency Management (MINEMA).</t>
  </si>
  <si>
    <t>1.a.2</t>
  </si>
  <si>
    <t xml:space="preserve">Proportion of total government spending on essential services (education, health and social protection) </t>
  </si>
  <si>
    <t>SG_XPD_HLTH</t>
  </si>
  <si>
    <t>Ministry of Finance and Economic Planning (MINECOFIN)</t>
  </si>
  <si>
    <t>Proportion of total government spending on health</t>
  </si>
  <si>
    <t>Not applicable—source is not an NISR publication: Ministry of Finance and Economic Planning (MINECOFIN).</t>
  </si>
  <si>
    <t>1.b.1</t>
  </si>
  <si>
    <t>Proportion of government recurrent and capital spending to sectors that disproportionately benefit women, the poor and vulnerable groups - Social Protection</t>
  </si>
  <si>
    <t>_L_RW_010B01_1</t>
  </si>
  <si>
    <t>USD</t>
  </si>
  <si>
    <t>Amount spent in Social Protection program</t>
  </si>
  <si>
    <t>2.1.1</t>
  </si>
  <si>
    <t>Prevalence of undernourishment</t>
  </si>
  <si>
    <t>SN_ITK_DEFC</t>
  </si>
  <si>
    <t xml:space="preserve">NISR, Food Balance Sheets (FBS) </t>
  </si>
  <si>
    <t>Percentage of food insecure households</t>
  </si>
  <si>
    <t>Table 14, Prevalence of Undernourishment, p. 20, Rwanda Food Balance Sheets 2023–2024 (2025)</t>
  </si>
  <si>
    <t>2.1.2</t>
  </si>
  <si>
    <t>Prevalence of moderate or severe food insecurity in the population, based on the Food Insecurity Experience Scale (FIES) - by using CARI Method (Moderately food insecure)</t>
  </si>
  <si>
    <t>_L_RW_020102_1</t>
  </si>
  <si>
    <t>CFSVA, NISR, MINAGRI</t>
  </si>
  <si>
    <t>Moderately food insecure based on CARI Method</t>
  </si>
  <si>
    <t>Table 9.2, CARI console for 2021 and 2024, p. 81, Rwanda Comprehensive Food Security and Vulnerability Analysis (CFSVA) 2024 (2025)</t>
  </si>
  <si>
    <t>2.2.1</t>
  </si>
  <si>
    <t>Prevalence of stunting (height for age &lt;-2 standard deviation from the median of the World Health Organization (WHO) Child Growth Standards) among children under 5 years of age</t>
  </si>
  <si>
    <t>SH_STA_STNT</t>
  </si>
  <si>
    <t>DHS, NISR</t>
  </si>
  <si>
    <t>Proportion of children moderately or severely stunted</t>
  </si>
  <si>
    <t>Figure/Table—nutrition trend, Trends in nutritional status of children, Nutrition chapter, Rwanda DHS 2025 Final Report (2026). Needs review: Dashboard labels the latest period as 2024; confirm whether it should be displayed as 2025 survey year.</t>
  </si>
  <si>
    <t>2.2.2</t>
  </si>
  <si>
    <t xml:space="preserve">Prevalence of malnutrition (weight for height &gt;+2 or &lt;-2 standard deviation from the median of the WHO Child Growth Standards) among children under 5 years of age, by type (wasting or overweight) </t>
  </si>
  <si>
    <t>SH_STA_WAST</t>
  </si>
  <si>
    <t>Proportion of children moderately or severely wasted</t>
  </si>
  <si>
    <t>Y0T4</t>
  </si>
  <si>
    <t>&lt;5</t>
  </si>
  <si>
    <t>Figure/Table—nutrition trend, Trends in nutritional status of children, Nutrition chapter, Rwanda DHS 2025 Final Report (2026). Needs review: Dashboard labels the latest period as 2024; confirm year convention.</t>
  </si>
  <si>
    <t>2.5.1</t>
  </si>
  <si>
    <t>Number of plant and animal genetic resources for food and agriculture secured in either medium- or long-term conservation facilities - Plant genetic resources</t>
  </si>
  <si>
    <t>_L_RW_020501_1</t>
  </si>
  <si>
    <t>MINAGRI (Rwanda National Gene Bank-RNGB)</t>
  </si>
  <si>
    <t>Plant Genetic Resources</t>
  </si>
  <si>
    <t>Not applicable—source is not an NISR publication: MINAGRI (Rwanda National Gene Bank-RNGB).</t>
  </si>
  <si>
    <t>3.1.1</t>
  </si>
  <si>
    <t>Maternal mortality ratio</t>
  </si>
  <si>
    <t>SH_STA_MORT</t>
  </si>
  <si>
    <t>PER_100000_LIVE_BIRTHS</t>
  </si>
  <si>
    <t>Maternal mortality trend, Maternal mortality ratio, Maternal mortality chapter, Rwanda DHS 2025 Final Report (2026). Needs review: Value is a five-year retrospective estimate; confirm dashboard year assignment.</t>
  </si>
  <si>
    <t>3.1.2</t>
  </si>
  <si>
    <t>Proportion of births attended by skilled health personnel</t>
  </si>
  <si>
    <t>SH_STA_BRTC</t>
  </si>
  <si>
    <t>Delivery chart/table, Delivery care, Maternal health chapter, Rwanda DHS 2025 Final Report (2026). Needs review: Confirm exact final-report table number before coding automated extraction.</t>
  </si>
  <si>
    <t>3.2.1</t>
  </si>
  <si>
    <t>Under-five mortality rate</t>
  </si>
  <si>
    <t>SH_DYN_MORT</t>
  </si>
  <si>
    <t>PER_1000_LIVE_BIRTHS</t>
  </si>
  <si>
    <t>Childhood mortality rates, Childhood mortality rates, Child mortality chapter, Rwanda DHS 2025 Final Report (2026). Needs review: Five-year retrospective estimate; confirm dashboard year convention.</t>
  </si>
  <si>
    <t>3.2.2</t>
  </si>
  <si>
    <t>Neonatal mortality rate</t>
  </si>
  <si>
    <t>SH_DYN_NMRT</t>
  </si>
  <si>
    <t>M0</t>
  </si>
  <si>
    <t>&lt;1M</t>
  </si>
  <si>
    <t>3.3.1</t>
  </si>
  <si>
    <t>Number of new HIV infections per 1,000 uninfected population, by sex, age and key populations</t>
  </si>
  <si>
    <t>SH_HIV_INCD</t>
  </si>
  <si>
    <t>PER_1000_UNINFECTED_POP</t>
  </si>
  <si>
    <t>Rwanda Population- Based HIV Impact Assessment (RPHIA 2013-
14 )
RPHIA 2018-19</t>
  </si>
  <si>
    <t>Number of new HIV infections per 1,000 uninfected population</t>
  </si>
  <si>
    <t>Not applicable—source is not an NISR publication: Rwanda Population- Based HIV Impact Assessment (RPHIA 2013- 14 ) RPHIA 2018-19.</t>
  </si>
  <si>
    <t>3.3.2</t>
  </si>
  <si>
    <t>Tuberculosis incidence per 100,000 population</t>
  </si>
  <si>
    <t>SH_TBS_INCD</t>
  </si>
  <si>
    <t>RBC, (WHO Global TB Report 2017), Health sector FY 2021/2022 backward looking joint sector review report</t>
  </si>
  <si>
    <t>Tuberculosis incidence</t>
  </si>
  <si>
    <t>Not applicable—source is not an NISR publication: RBC, (WHO Global TB Report 2017), Health sector FY 2021/2022 backward looking joint sector review report.</t>
  </si>
  <si>
    <t>3.3.3</t>
  </si>
  <si>
    <t>Malaria incidence per 1,000 population</t>
  </si>
  <si>
    <t>SH_STA_MALR</t>
  </si>
  <si>
    <t>PER_1000_POP</t>
  </si>
  <si>
    <t>HMIS, Rwanda Biomedical Centre (RBC), MoH Annual performance report  2022 (Malaria report
)</t>
  </si>
  <si>
    <t>Malaria incidence per 1,000 population at risk</t>
  </si>
  <si>
    <t>Not applicable—source is not an NISR publication: HMIS, Rwanda Biomedical Centre (RBC), MoH Annual performance report 2022 (Malaria report ).</t>
  </si>
  <si>
    <t>3.3.5</t>
  </si>
  <si>
    <t>Number of people requiring interventions against neglected tropical diseases</t>
  </si>
  <si>
    <t>SH_TRP_INTVN</t>
  </si>
  <si>
    <t>RBC , NTD report</t>
  </si>
  <si>
    <t>Not applicable—source is not an NISR publication: RBC , NTD report.</t>
  </si>
  <si>
    <t>3.4.2</t>
  </si>
  <si>
    <t>Suicide mortality rate</t>
  </si>
  <si>
    <t>SH_STA_SCIDE</t>
  </si>
  <si>
    <t>RIB</t>
  </si>
  <si>
    <t>Not applicable—source is not an NISR publication: RIB.</t>
  </si>
  <si>
    <t>3.5.2</t>
  </si>
  <si>
    <t>Alcohol per capita consumption (aged 15 years and older) within a calendar year in litres of pure
alcohol
National proxy: Proportion of heavy drinkers (≥60g of pure alcohol/ six standard drinks on average per
occasion among men and ≥40g of pure alcohol4 standard drinks on average per occasion among
women).</t>
  </si>
  <si>
    <t>SH_ALC_CONSPT</t>
  </si>
  <si>
    <t>MoH, Steps Survey</t>
  </si>
  <si>
    <t>The proportion of heavy drinkers (≥60g of pure alcohol/ six standard drinks on average per
occasion among men and ≥40g of pure alcohol4 standard drinks on average per occasion among
women).</t>
  </si>
  <si>
    <t>Not applicable—source is not an NISR publication: MoH, Steps Survey.</t>
  </si>
  <si>
    <t>3.6.1</t>
  </si>
  <si>
    <t>Death rate due to road traffic injuries</t>
  </si>
  <si>
    <t>SH_STA_TRAF</t>
  </si>
  <si>
    <t>NISR, Statistical Yearbook</t>
  </si>
  <si>
    <t>Table 14.2.8, Death’s rate due to road traffic injuries, p. 148, Rwanda Statistical Yearbook 2024 (2024)</t>
  </si>
  <si>
    <t>3.7.1</t>
  </si>
  <si>
    <t xml:space="preserve">Proportion of women of reproductive age (aged 15-49 years) who have their need for family planning satisfied with modern methods </t>
  </si>
  <si>
    <t>SH_FPL_MTMM</t>
  </si>
  <si>
    <t>Proportion of women married or in a union of reproductive age (aged 15-49 years) who have their need for family planning satisfied with modern methods</t>
  </si>
  <si>
    <t>Y15T49</t>
  </si>
  <si>
    <t>15-49</t>
  </si>
  <si>
    <t>F</t>
  </si>
  <si>
    <t>Female</t>
  </si>
  <si>
    <t>Demand satisfied chart/table, Use, need and demand for family planning, Family planning chapter, Rwanda DHS 2025 Final Report (2026). Needs review: Confirm whether dashboard uses all women or women in marital union.</t>
  </si>
  <si>
    <t>3.7.2</t>
  </si>
  <si>
    <t>Adolescent birth rate (aged 10-14 years; aged 15-19 years) per 1,000 women in that age group</t>
  </si>
  <si>
    <t>SP_DYN_ADKL</t>
  </si>
  <si>
    <t>Adolescent birth rate (per 1,000 women aged 15-19 years)</t>
  </si>
  <si>
    <t>Y15T19</t>
  </si>
  <si>
    <t>15-19</t>
  </si>
  <si>
    <t>Teenage pregnancy trend, Teenage pregnancy, Fertility chapter, Rwanda DHS 2025 Final Report (2026). Needs review: Dashboard description says birth rate per 1,000 but stored value is a percentage ever pregnant; proxy definition must be approved.</t>
  </si>
  <si>
    <t>3.8.1</t>
  </si>
  <si>
    <t>Coverage of essential health services</t>
  </si>
  <si>
    <t>SH_ACS_UNHC</t>
  </si>
  <si>
    <t>DHS/STEPS/Census/HMIS</t>
  </si>
  <si>
    <t xml:space="preserve">Universal health coverage </t>
  </si>
  <si>
    <t>NISR-related source stated as “DHS/STEPS/Census/HMIS”; exact report/table/page not verified. Needs review—no reference has been invented.</t>
  </si>
  <si>
    <t>3.8.2</t>
  </si>
  <si>
    <t>Proportion of population with large household expenditures on heath as a share
of total households expenditure or income (out of pocket expenditure)</t>
  </si>
  <si>
    <t>SH_XPD_EARN25</t>
  </si>
  <si>
    <t>HMIS (Health sector annual report 2020/21)</t>
  </si>
  <si>
    <t>Proportion of population with large household expenditures on health (greater than 25%) as a share of total household expenditure or income</t>
  </si>
  <si>
    <t>Not applicable—source is not an NISR publication: HMIS (Health sector annual report 2020/21).</t>
  </si>
  <si>
    <t>3.a.1</t>
  </si>
  <si>
    <t xml:space="preserve">Age-standardized prevalence of current tobacco use among persons aged 15 years and older </t>
  </si>
  <si>
    <t>SH_PRV_SMOK</t>
  </si>
  <si>
    <t>Age-standardized prevalence of current tobacco use among persons aged 15 years and older</t>
  </si>
  <si>
    <t>Y_GE15</t>
  </si>
  <si>
    <t>15+</t>
  </si>
  <si>
    <t>Tables 3.10.1–3.10.2, Tobacco smoking: Women and Men, pp. 57–58, Rwanda DHS 2019–20 Final Report (2021)</t>
  </si>
  <si>
    <t>3.b.1</t>
  </si>
  <si>
    <t>Proportion of the target population covered by all vaccines included in their national programme</t>
  </si>
  <si>
    <t>SH_ACS_DTP3</t>
  </si>
  <si>
    <t>DHS, RBC</t>
  </si>
  <si>
    <t>Proportion of the target population with access to 3 doses of diphtheria-tetanus-pertussis (DTP3)</t>
  </si>
  <si>
    <t>M12T23</t>
  </si>
  <si>
    <t xml:space="preserve"> 12M-23M</t>
  </si>
  <si>
    <t>NISR-related source stated as “DHS, RBC”; exact report/table/page not verified. Needs review—no reference has been invented.</t>
  </si>
  <si>
    <t>3.c.1</t>
  </si>
  <si>
    <t>Health worker density and distribution - Doctors</t>
  </si>
  <si>
    <t>SH_MED_DEN</t>
  </si>
  <si>
    <t>Doctors</t>
  </si>
  <si>
    <t>ISCO08_221</t>
  </si>
  <si>
    <t>Ministry of Health</t>
  </si>
  <si>
    <t>Health workder density, Doctors</t>
  </si>
  <si>
    <t>Not applicable—source is not an NISR publication: Ministry of Health.</t>
  </si>
  <si>
    <t>3.d.1</t>
  </si>
  <si>
    <t>International Health Regulations (IHR) capacity and health emergency preparedness, Legislation</t>
  </si>
  <si>
    <t>SH_IHR_CAPS</t>
  </si>
  <si>
    <t>IHR_01</t>
  </si>
  <si>
    <t>WHO, International Health Regulations (2005) Monitoring Framework Country Profiles</t>
  </si>
  <si>
    <t>International Health Regulations (IHR) capacity, by type of IHR capacity</t>
  </si>
  <si>
    <t>Not applicable—source is not an NISR publication: WHO, International Health Regulations (2005) Monitoring Framework Country Profiles.</t>
  </si>
  <si>
    <t>4.1.1</t>
  </si>
  <si>
    <t>Proportion of children and young people (a) in grades 2/3; (b) at the end of primary; and (c) at the end of lower secondary achieving at least a minimum proficiency level in (i) reading and (ii) mathematics, by sex - Literacy rate of children in primary two (P2)</t>
  </si>
  <si>
    <t>_L_RW_040101_1</t>
  </si>
  <si>
    <t>Some primary education, grades 2 or 3</t>
  </si>
  <si>
    <t>ISCED11A_0_G23</t>
  </si>
  <si>
    <t>REB, Learning Achievement in Rwanda schools (2016 through LARS II and 2018)</t>
  </si>
  <si>
    <t xml:space="preserve">Literacy rate of children in P2 </t>
  </si>
  <si>
    <t>Not applicable—source is not an NISR publication: REB, Learning Achievement in Rwanda schools (2016 through LARS II and 2018).</t>
  </si>
  <si>
    <t>4.2.1</t>
  </si>
  <si>
    <t>Proportion of children under 5 years of age who are developmentally on track in health, learning and psychosocial well-being, by sex - Early Child Development index score (aged 36-59 months)</t>
  </si>
  <si>
    <t>SE_DEV_ONTRK</t>
  </si>
  <si>
    <t>Pre-primary</t>
  </si>
  <si>
    <t>ISCED97_0</t>
  </si>
  <si>
    <t>NISR,DHS2019/2020</t>
  </si>
  <si>
    <t>Proportion of children aged 36-59 months who are developmentally on track in at least three of the following domains: literacy-numeracy, physical development, social-emotional development, and learning</t>
  </si>
  <si>
    <t>M36T59</t>
  </si>
  <si>
    <t>36M-59M</t>
  </si>
  <si>
    <t>ECDI table, Early Childhood Development Index, Early childhood development chapter, Rwanda DHS 2019–20 Final Report (2021). Needs review: Exact table number should be confirmed in the final report before automation.</t>
  </si>
  <si>
    <t>4.2.2</t>
  </si>
  <si>
    <t xml:space="preserve">Participation rate in organized learning (one year before the official primary entry age), by sex </t>
  </si>
  <si>
    <t>SE_PRE_PARTN</t>
  </si>
  <si>
    <t>MINEDUC, Education Admin data, 2023</t>
  </si>
  <si>
    <t>Participation rate in organized learning (one year before the official primary entry age)</t>
  </si>
  <si>
    <t>Not applicable—source is not an NISR publication: MINEDUC, Education Admin data, 2023.</t>
  </si>
  <si>
    <t>4.3.1</t>
  </si>
  <si>
    <t xml:space="preserve">Participation rate of youth and adults in formal and non-formal education and training in the previous 12 months, by sex </t>
  </si>
  <si>
    <t>SE_ADT_EDUCTRN</t>
  </si>
  <si>
    <t>MINEDUC MIS/
Education Admin data, 2023</t>
  </si>
  <si>
    <t>Participation rate in formal and non-formal education and training</t>
  </si>
  <si>
    <t>Y_GE16</t>
  </si>
  <si>
    <t>16+</t>
  </si>
  <si>
    <t>Not applicable—source is not an NISR publication: MINEDUC MIS/ Education Admin data, 2023.</t>
  </si>
  <si>
    <t>4.4.1</t>
  </si>
  <si>
    <t xml:space="preserve">Proportion of youth and adults with information and communications technology (ICT) skills, by type of skill </t>
  </si>
  <si>
    <t>SE_ADT_ACTS</t>
  </si>
  <si>
    <t xml:space="preserve">Proportion of youth and adults with information and communications technology (ICT) skills - Copying (Moving) a file or a folder </t>
  </si>
  <si>
    <t>Table 4.11, Individuals aged 10+ who used computer skills in the last three months, p. 43, EICV7 Main Indicators Report 2023/24 (2025)</t>
  </si>
  <si>
    <t>4.5.1</t>
  </si>
  <si>
    <t xml:space="preserve">Parity indices (female/male, rural/urban, bottom/top wealth quantile and others such as disability status, indigenous peoples and conflict-affected, as data become available) for all education indicators on this list that can be disaggregated </t>
  </si>
  <si>
    <t>_L_RW_040501_1</t>
  </si>
  <si>
    <t>Primary education</t>
  </si>
  <si>
    <t>ISCED11_1</t>
  </si>
  <si>
    <t>Gender parity index for participation rate in formal and non-formal education and training - Primary, Net attendance rate</t>
  </si>
  <si>
    <t>Table 4.12, Net and Gross Attendance Rates in primary school, p. 44, EICV7 Main Indicators Report 2023/24 (2025)</t>
  </si>
  <si>
    <t>4.6.1</t>
  </si>
  <si>
    <t xml:space="preserve">Proportion of population in a given age group achieving at least a fixed level of proficiency in functional (a) literacy and (b) numeracy skills, by sex </t>
  </si>
  <si>
    <t>_L_RW_040601_1</t>
  </si>
  <si>
    <t>MINEDUC</t>
  </si>
  <si>
    <t>Proportion of population achieving at least a fixed level of proficiency in functional skills - All levels, Literacy rate (%) among youth population</t>
  </si>
  <si>
    <t>Not applicable—source is not an NISR publication: MINEDUC.</t>
  </si>
  <si>
    <t>4.a.1</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</si>
  <si>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</si>
  <si>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SE_ACS_ELECT</t>
  </si>
  <si>
    <t>Pre-primary education</t>
  </si>
  <si>
    <t>ISCED11_02</t>
  </si>
  <si>
    <t>MINEDUC, Statistical Yearbook 2022</t>
  </si>
  <si>
    <t>Proportion of schools with access to electricity - Nursery</t>
  </si>
  <si>
    <t>NISR-related source stated as “MINEDUC, Statistical Yearbook 2022”; exact report/table/page not verified. Needs review—no reference has been invented.</t>
  </si>
  <si>
    <t>4.c.1</t>
  </si>
  <si>
    <t>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</si>
  <si>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SE_TRA_GRDL</t>
  </si>
  <si>
    <t>Proportion of teachers who have received at least the minimum organized teacher training (e.g. pedagogical training) pre-service or in-service required for teaching at the relevant level in a given country</t>
  </si>
  <si>
    <t>5.2.1</t>
  </si>
  <si>
    <t>Proportion of ever-partnered women and girls aged 15 years and older subjected to physical, sexual or psychological violence by a current or former intimate partner in the previous 12 months, by form of violence and by age</t>
  </si>
  <si>
    <t>VC_VAW_PHYV</t>
  </si>
  <si>
    <t>Proportion of ever-partnered women and girls subjected to physical violence by a current or former intimate partner in the previous 12 months</t>
  </si>
  <si>
    <t>Table 16.9.1, Spousal violence by background characteristics, SDG summary p. xxviii / domestic violence chapter, Rwanda DHS 2019–20 Final Report (2021)</t>
  </si>
  <si>
    <t>5.2.2</t>
  </si>
  <si>
    <t>Proportion of women and girls aged 15 years and older subjected to sexual violence by persons other than an intimate partner in the previous 12 months, by age and place of occurrence</t>
  </si>
  <si>
    <t>VC_VAW_NONMARR</t>
  </si>
  <si>
    <t>Proportion of women and girls aged 15 years and older subjected to sexual violence by persons other than an intimate partner in the previous 12 months</t>
  </si>
  <si>
    <t>Relevant non-partner sexual violence table, Sexual violence by a non-partner, Domestic violence chapter, Rwanda DHS 2019–20 Final Report (2021). Needs review: Confirm that 8.6 refers to non-partner violence in the past 12 months rather than ever experienced.</t>
  </si>
  <si>
    <t>5.3.1</t>
  </si>
  <si>
    <t xml:space="preserve">Proportion of women aged 20-24 years who were married or in a union before age 15 and before age 18 </t>
  </si>
  <si>
    <t>SP_DYN_MRBF15</t>
  </si>
  <si>
    <t>Proportion of women aged 20-24 years who were married or in a union before age 15</t>
  </si>
  <si>
    <t>Y0T14</t>
  </si>
  <si>
    <t>&lt; 15</t>
  </si>
  <si>
    <t>Table 4.3, Age at first marriage, SDG summary p. xxviii, Rwanda DHS 2019–20 Final Report (2021)</t>
  </si>
  <si>
    <t>5.4.1</t>
  </si>
  <si>
    <t xml:space="preserve">Proportion of time spent on unpaid domestic and care work, by sex, age and location </t>
  </si>
  <si>
    <t>SL_DOM_TSPDCW</t>
  </si>
  <si>
    <t>LFS, NISR</t>
  </si>
  <si>
    <t>Proportion of time spent on unpaid care work -  (in hours per week)</t>
  </si>
  <si>
    <t>Time spent on unpaid care work, Time-use/unpaid work item, Labour Force Survey Annual Report 2024 (2025). Needs review: The LFS annual report does not expose a verified numbered table matching this derived indicator; likely requires microdata/direct Excel output.</t>
  </si>
  <si>
    <t>5.5.1</t>
  </si>
  <si>
    <t>Proportion of seats held by (a) women in national parliaments and (b) local governments</t>
  </si>
  <si>
    <t>_L_RW_050501_1</t>
  </si>
  <si>
    <t>National Electoral Commission (NEC), GMO</t>
  </si>
  <si>
    <t>Proportion of seats held by women in national parliaments (% of total number of seats)</t>
  </si>
  <si>
    <t>Deputies</t>
  </si>
  <si>
    <t>Not applicable—source is not an NISR publication: National Electoral Commission (NEC), GMO.</t>
  </si>
  <si>
    <t>5.5.2</t>
  </si>
  <si>
    <t xml:space="preserve">Proportion of women in managerial positions </t>
  </si>
  <si>
    <t>IC_GEN_MGTL</t>
  </si>
  <si>
    <t>Proportion of women in managerial positions</t>
  </si>
  <si>
    <t>Women in managerial positions, Employment by occupation section, Labour Force Survey Annual Report 2024 (2025). Needs review: Confirm occupation-code definition and denominator before automation.</t>
  </si>
  <si>
    <t>5.6.1</t>
  </si>
  <si>
    <t>Proportion of women aged 15-49 years who make their own informed decisions regarding sexual relations, contraceptive use and reproductive health care</t>
  </si>
  <si>
    <t>SH_FPL_INFM</t>
  </si>
  <si>
    <t>Proportion of women who make their own informed decisions regarding sexual relations, contraceptive use and reproductive health care (% of women aged 15-49 years)</t>
  </si>
  <si>
    <t>SDG 5.6.1 summary (no source table number shown), Informed decisions regarding sexual relations, contraceptive use and reproductive health care, SDG summary p. xxviii, Rwanda DHS 2019–20 Final Report (2021). Needs review: Value 63.1 is shown in the report’s SDG summary, but the underlying numbered table was not identified.</t>
  </si>
  <si>
    <t>5.a.1</t>
  </si>
  <si>
    <t>(a) Proportion of total agricultural population with ownership or secure rights over agricultural land, by sex; and (b) share of women among owners or rights-bearers of agricultural land, by type of tenure - Only Women own agriculture</t>
  </si>
  <si>
    <t>_L_RW_050A01_1</t>
  </si>
  <si>
    <t>RLMUA</t>
  </si>
  <si>
    <t>Only Women own agriculture</t>
  </si>
  <si>
    <t>Not applicable—source is not an NISR publication: RLMUA.</t>
  </si>
  <si>
    <t>5.b.1</t>
  </si>
  <si>
    <t xml:space="preserve">Proportion of individuals who own a mobile telephone, by sex </t>
  </si>
  <si>
    <t>IT_MOB_OWN</t>
  </si>
  <si>
    <t xml:space="preserve">EICV and RPHC5/2022 </t>
  </si>
  <si>
    <t>Proportion of individuals who own a mobile telephone (Population 16 years and above)</t>
  </si>
  <si>
    <t>NISR-related source stated as “EICV and RPHC5/2022”; exact report/table/page not verified. Needs review—no reference has been invented.</t>
  </si>
  <si>
    <t>6.1.1</t>
  </si>
  <si>
    <t>Proportion of population using safely managed drinking water services - Proportion (%) of Households have access to an improved water source.</t>
  </si>
  <si>
    <t>_L_RW_060101_1</t>
  </si>
  <si>
    <t>RDHC nad RPHC5/2022</t>
  </si>
  <si>
    <t>Proportion (%) of Households have access to an improved water source</t>
  </si>
  <si>
    <t>NISR-related source stated as “RDHC nad RPHC5/2022”; exact report/table/page not verified. Needs review—no reference has been invented.</t>
  </si>
  <si>
    <t>6.2.1</t>
  </si>
  <si>
    <t>Proportion of population using safely managed sanitation services, including a hand-washing facility with soap and water - Proportion (%) of Households using improved sanitation type not shared with other households.</t>
  </si>
  <si>
    <t>SH_SAN_HNDWSH</t>
  </si>
  <si>
    <t>Proportion (%) of Households using improved sanitation type not shared with other households.</t>
  </si>
  <si>
    <t>6.3.2</t>
  </si>
  <si>
    <t xml:space="preserve">Proportion of bodies of water with good ambient water quality </t>
  </si>
  <si>
    <t>EN_H2O_WBAMBQ</t>
  </si>
  <si>
    <t>RWB</t>
  </si>
  <si>
    <t>Proportion of bodies of water with good ambient water quality</t>
  </si>
  <si>
    <t>Not applicable—source is not an NISR publication: RWB.</t>
  </si>
  <si>
    <t>6.4.1</t>
  </si>
  <si>
    <t>Change in water-use efficiency over time</t>
  </si>
  <si>
    <t>ER_H2O_WUEYST</t>
  </si>
  <si>
    <t>USD_PER_M3</t>
  </si>
  <si>
    <t>Water Use Efficiency (United States dollars per cubic meter)</t>
  </si>
  <si>
    <t>6.4.2</t>
  </si>
  <si>
    <t>Level of water stress: freshwater withdrawal as a proportion of available freshwater resources</t>
  </si>
  <si>
    <t>ER_H2O_STRESS</t>
  </si>
  <si>
    <t>6.5.1</t>
  </si>
  <si>
    <t>Degree of integrated water resources management implementation (0-100)</t>
  </si>
  <si>
    <t>ER_H2O_IWRMD</t>
  </si>
  <si>
    <t>Degree of integrated water resources management implementation</t>
  </si>
  <si>
    <t>6.5.2</t>
  </si>
  <si>
    <t>Proportion of transboundary basin area with an operational arrangement for water cooperation</t>
  </si>
  <si>
    <t>EG_TBA_H2CO</t>
  </si>
  <si>
    <t>Proportion of transboundary basins (river and lake basins and aquifers) with an operational arrangement for water cooperation</t>
  </si>
  <si>
    <t>6.6.1</t>
  </si>
  <si>
    <t>Change in the extent of water-related ecosystems over time</t>
  </si>
  <si>
    <t>EN_WBE_PMPR</t>
  </si>
  <si>
    <t>RWB, REMA, RFA</t>
  </si>
  <si>
    <t>Water body extent (permanent) (% of total land area)</t>
  </si>
  <si>
    <t>Not applicable—source is not an NISR publication: RWB, REMA, RFA.</t>
  </si>
  <si>
    <t>6.b.1</t>
  </si>
  <si>
    <t>Proportion of local administrative units with established and operational policies and procedures for participation of local communities in water and sanitation management</t>
  </si>
  <si>
    <t>ER_H20_LCMGM</t>
  </si>
  <si>
    <t>MINALOC</t>
  </si>
  <si>
    <t>Not applicable—source is not an NISR publication: MINALOC.</t>
  </si>
  <si>
    <t>7.1.1</t>
  </si>
  <si>
    <t xml:space="preserve">Proportion of population with access to electricity </t>
  </si>
  <si>
    <t>EG_ACS_ELEC</t>
  </si>
  <si>
    <t>Proportion of population with access to electricity</t>
  </si>
  <si>
    <t>7.1.2</t>
  </si>
  <si>
    <t>Proportion of population with primary reliance on clean fuels and technology</t>
  </si>
  <si>
    <t>_L_RW_070102_1</t>
  </si>
  <si>
    <t>Proportion (%) of Households with primary reliance on clean cooking fuels</t>
  </si>
  <si>
    <t>Table 5.9, Households by main type of cooking fuel, p. 57, EICV7 Main Indicators Report 2023/24 (2025)</t>
  </si>
  <si>
    <t>7.2.1</t>
  </si>
  <si>
    <t xml:space="preserve">Renewable energy share in the total final energy consumption </t>
  </si>
  <si>
    <t>_L_RW_070201_1</t>
  </si>
  <si>
    <t>Ministry of Infrastructure (MININFRA)</t>
  </si>
  <si>
    <t>Renewable energy share in the total final electricity generation</t>
  </si>
  <si>
    <t>Not applicable—source is not an NISR publication: Ministry of Infrastructure (MININFRA).</t>
  </si>
  <si>
    <t>7.3.1</t>
  </si>
  <si>
    <t>Energy intensity measured in terms of primary energy and GDP</t>
  </si>
  <si>
    <t>_L_RW_070301</t>
  </si>
  <si>
    <t>MJ_PER_GDP_CON_PPP_USD</t>
  </si>
  <si>
    <t>8.1.1</t>
  </si>
  <si>
    <t>Annual growth rate of real GDP per capita</t>
  </si>
  <si>
    <t>NY_GDP_PCAP</t>
  </si>
  <si>
    <t>National Accounts, NISR</t>
  </si>
  <si>
    <t>Unnumbered/derived, Annual growth rate of real GDP per capita, National accounts time series, GDP National Accounts 2024—Annual Report (2025). Needs review: Value is derived from GDP and population series; identify the official National Accounts Excel cell for repeatable extraction.</t>
  </si>
  <si>
    <t>8.2.1</t>
  </si>
  <si>
    <t>Annual growth rate of real GDP per employed person</t>
  </si>
  <si>
    <t>SL_EMP_PCAP</t>
  </si>
  <si>
    <t>ILO - Modelled Estimates</t>
  </si>
  <si>
    <t>Not applicable—source is not an NISR publication: ILO - Modelled Estimates.</t>
  </si>
  <si>
    <t>8.3.1</t>
  </si>
  <si>
    <t xml:space="preserve">Proportion of informal employment in non‑agriculture employment, by sex </t>
  </si>
  <si>
    <t>SL_ISV_IFRM</t>
  </si>
  <si>
    <t>Proportion of informal employment in non-agriculture employment</t>
  </si>
  <si>
    <t>Unnumbered summary table, Trend of Labour Force Survey main indicators, p. 14, Labour Force Survey Annual Report 2024 (2025)</t>
  </si>
  <si>
    <t>8.5.1</t>
  </si>
  <si>
    <t xml:space="preserve">Average hourly earnings of female and male employees, by occupation, age and persons with disabilities </t>
  </si>
  <si>
    <t>SL_EMP_EARN</t>
  </si>
  <si>
    <t>Managers</t>
  </si>
  <si>
    <t>ISCO08_1</t>
  </si>
  <si>
    <t>Average hourly earnings</t>
  </si>
  <si>
    <t>Not in verified report table, Average hourly earnings, Direct output required, Labour Force Survey microdata/indicator output (2024). Needs review: Dashboard value 3,496.26 does not match Figure 4.15 average hourly cash income; confirm variable, denominator and source output.</t>
  </si>
  <si>
    <t>8.5.2</t>
  </si>
  <si>
    <t>Unemployment rate, by sex, age and persons with disabilities (%)</t>
  </si>
  <si>
    <t>SL_TLF_UEM</t>
  </si>
  <si>
    <t>Unemployment rate</t>
  </si>
  <si>
    <t>Figure 5.1, Unemployment rate by sex, p. 40, Labour Force Survey Annual Report 2024 (2025)</t>
  </si>
  <si>
    <t>8.6.1</t>
  </si>
  <si>
    <t xml:space="preserve">Proportion of youth (aged 15-24 years) not in education, employment or training </t>
  </si>
  <si>
    <t>_L_RW_080601_1</t>
  </si>
  <si>
    <t>Proportion of youth (aged 16-24 years) not in education, employment or training</t>
  </si>
  <si>
    <t>Y16T24</t>
  </si>
  <si>
    <t>16-24</t>
  </si>
  <si>
    <t>Figure 7.5, Youth not in employment and not in education or training, p. 50, Labour Force Survey Annual Report 2024 (2025)</t>
  </si>
  <si>
    <t>8.7.1</t>
  </si>
  <si>
    <t>Proportion and number of children aged 5‑17 years engaged in child labour, by sex and age - Child labor rate by sex</t>
  </si>
  <si>
    <t>SL_TLF_CHLDEA</t>
  </si>
  <si>
    <t>Proportion of children engaged in economic activity</t>
  </si>
  <si>
    <t>Y5T17</t>
  </si>
  <si>
    <t>5-17</t>
  </si>
  <si>
    <t>Children engaged in economic activity, Economic activity/child work output, EICV7 Main Indicators Report 2023/24 (2025). Needs review: No matching numbered national table was verified in the EICV7 main report; likely requires EICV analytical output.</t>
  </si>
  <si>
    <t>8.8.1</t>
  </si>
  <si>
    <t>Frequency rates of fatal and non-fatal occupational injuries, by sex and migrant status</t>
  </si>
  <si>
    <t>SL_EMP_FTLINJUR</t>
  </si>
  <si>
    <t>RSSB</t>
  </si>
  <si>
    <t>Fatal occupational injuries among employees (rate)</t>
  </si>
  <si>
    <t>Not applicable—source is not an NISR publication: RSSB.</t>
  </si>
  <si>
    <t>8.8.2</t>
  </si>
  <si>
    <t>Level of national compliance with labour rights (freedom of association and collective bargaining) based on International Labour Organization (ILO) textual sources and national legislation, by sex and migrant status</t>
  </si>
  <si>
    <t>SL_LBR_NTLCPL</t>
  </si>
  <si>
    <t>SCORE</t>
  </si>
  <si>
    <t>ILO - Calculations based on information from ILO textual sources</t>
  </si>
  <si>
    <t>Level of national compliance of labour rights (freedom of association and collective bargaining) based on International Labour Organization (ILO) textual sources and national legislation</t>
  </si>
  <si>
    <t>Not applicable—source is not an NISR publication: ILO - Calculations based on information from ILO textual sources.</t>
  </si>
  <si>
    <t>8.9.1</t>
  </si>
  <si>
    <t>Tourism direct GDP as a proportion of total GDP and in growth rate</t>
  </si>
  <si>
    <t>ST_GDP_ZS</t>
  </si>
  <si>
    <t>RDB</t>
  </si>
  <si>
    <t>Tourism direct GDP as a proportion of total GDP</t>
  </si>
  <si>
    <t>Not applicable—source is not an NISR publication: RDB.</t>
  </si>
  <si>
    <t>8.10.1</t>
  </si>
  <si>
    <t xml:space="preserve">Number of (a) commercial bank branches per 100,000 adults and (b) number of automated teller machines (ATMs) per 100,000 adults </t>
  </si>
  <si>
    <t>FB_ATM_TOTL</t>
  </si>
  <si>
    <t>BNR, Annual Report</t>
  </si>
  <si>
    <t>Number of automated teller machines (ATMs) per 100,000 adults</t>
  </si>
  <si>
    <t>Not applicable—source is not an NISR publication: BNR, Annual Report.</t>
  </si>
  <si>
    <t>8.10.2</t>
  </si>
  <si>
    <t xml:space="preserve">Proportion of adults (15 years and older) with an account at a bank or other financial institution or with a mobile-money-service provider </t>
  </si>
  <si>
    <t>_L_RW_081002_1</t>
  </si>
  <si>
    <t>Percentage of households with at least one savings account</t>
  </si>
  <si>
    <t>Adults with a financial account, Financial inclusion output, FinScope Rwanda 2024 / EICV source to be confirmed (2024). Needs review: The workbook’s ‘households with at least one savings account’ proxy and 93% do not match the SDG account-ownership definition; FinScope is the likely source.</t>
  </si>
  <si>
    <t>9.1.1</t>
  </si>
  <si>
    <t>Proportion of the rural population who live within 2 km of an all-season road</t>
  </si>
  <si>
    <t>SP_ROD_R2KM</t>
  </si>
  <si>
    <t>Rural</t>
  </si>
  <si>
    <t>R</t>
  </si>
  <si>
    <t>Study on road and
public transport
accessibility in Rwanda
(MININFRA)</t>
  </si>
  <si>
    <t>Not applicable—source is not an NISR publication: Study on road and public transport accessibility in Rwanda (MININFRA).</t>
  </si>
  <si>
    <t>9.1.2</t>
  </si>
  <si>
    <t>Passenger and freight volumes, by mode of transport</t>
  </si>
  <si>
    <t>IS_TRP_MAILTKM</t>
  </si>
  <si>
    <t>T</t>
  </si>
  <si>
    <t>MININFRA</t>
  </si>
  <si>
    <t>Mail volume (tonne kilometres)</t>
  </si>
  <si>
    <t>Not applicable—source is not an NISR publication: MININFRA.</t>
  </si>
  <si>
    <t>9.2.1</t>
  </si>
  <si>
    <t xml:space="preserve">Manufacturing value added as a proportion of GDP and per capita  </t>
  </si>
  <si>
    <t>NV_IND_MANF</t>
  </si>
  <si>
    <t>Manufacturing value added as a proportion of GDP (%)</t>
  </si>
  <si>
    <t>Manufacturing value added as a proportion of GDP, Production approach tables, GDP National Accounts 2024—Annual Report (2025). Needs review: Use the official National Accounts Excel workbook and record numerator/denominator cells; dashboard currently ends at 2023.</t>
  </si>
  <si>
    <t>9.2.2</t>
  </si>
  <si>
    <t>Manufacturing employment as a proportion of total employment</t>
  </si>
  <si>
    <t>SL_TLF_MANF</t>
  </si>
  <si>
    <t>Unnumbered summary table, Trend of Labour Force Survey main indicators, p. 15, Labour Force Survey Annual Report 2024 (2025)</t>
  </si>
  <si>
    <t>9.4.1</t>
  </si>
  <si>
    <t>CO2 emission per unit of value added</t>
  </si>
  <si>
    <t>EN_ATM_CO2GDP</t>
  </si>
  <si>
    <t>KG_PER_CON_USD</t>
  </si>
  <si>
    <t>UNSD, Global SDG database</t>
  </si>
  <si>
    <t>Carbon dioxide emissions per unit of GDP PPP (kilogrammes of CO2 per constant 2017 United States dollars)</t>
  </si>
  <si>
    <t>Not applicable—source is not an NISR publication: UNSD, Global SDG database.</t>
  </si>
  <si>
    <t>9.5.1</t>
  </si>
  <si>
    <t>Research and development expenditure as a proportion of GDP</t>
  </si>
  <si>
    <t>GB_XPD_RSDV</t>
  </si>
  <si>
    <t>National Council for Science and Technology</t>
  </si>
  <si>
    <t>Research and development expenditure as a proportion of GDP (%)</t>
  </si>
  <si>
    <t>Not applicable—source is not an NISR publication: National Council for Science and Technology.</t>
  </si>
  <si>
    <t>9.5.2</t>
  </si>
  <si>
    <t>Researchers (in full-time equivalent) per million inhabitants (per 1,000,000 population)</t>
  </si>
  <si>
    <t>GB_POP_SCIERD</t>
  </si>
  <si>
    <t>PER_1000000_POP</t>
  </si>
  <si>
    <t>9.c.1</t>
  </si>
  <si>
    <t xml:space="preserve">Proportion of population covered by a mobile network, by technology </t>
  </si>
  <si>
    <t>IT_MOB_2GNTWK</t>
  </si>
  <si>
    <t>Statistics report for
telecom, media and
postal services, RURA</t>
  </si>
  <si>
    <t>Proportion of population covered by at least a 2G mobile network</t>
  </si>
  <si>
    <t>Not applicable—source is not an NISR publication: Statistics report for telecom, media and postal services, RURA.</t>
  </si>
  <si>
    <t>10.3.1</t>
  </si>
  <si>
    <t>Proportion of population reporting having personally felt discriminated against or harassed in the previous 12 months on the basis of a ground of discrimination prohibited under international human rights law</t>
  </si>
  <si>
    <t>VC_VOV_GDSD</t>
  </si>
  <si>
    <t>Reason for stopping last employment/ Physical and social harassment</t>
  </si>
  <si>
    <t>Reason for stopping last employment, Reason for stopping last employment, Labour Force Survey annual/microdata output (2024). Needs review: This is a proxy and does not measure personal discrimination/harassment as defined by SDG 10.3.1; policy approval required.</t>
  </si>
  <si>
    <t>10.4.1</t>
  </si>
  <si>
    <t>Labour share of GDP</t>
  </si>
  <si>
    <t>SL_EMP_GTOTL</t>
  </si>
  <si>
    <t>Labour share of GDP (%)</t>
  </si>
  <si>
    <t>10.5.1</t>
  </si>
  <si>
    <t>Financial Soundness Indicators</t>
  </si>
  <si>
    <t>FI_FSI_FSKA</t>
  </si>
  <si>
    <t xml:space="preserve">BNR, Annual Financial Stability Report </t>
  </si>
  <si>
    <t>Regulatory capital to assets (%) - CAR</t>
  </si>
  <si>
    <t>Not applicable—source is not an NISR publication: BNR, Annual Financial Stability Report.</t>
  </si>
  <si>
    <t>10.c.1</t>
  </si>
  <si>
    <t>Remittance costs as a proportion of the amount remitted</t>
  </si>
  <si>
    <t>SI_RMT_COST</t>
  </si>
  <si>
    <t>BNR</t>
  </si>
  <si>
    <t>Not applicable—source is not an NISR publication: BNR.</t>
  </si>
  <si>
    <t>11.1.1</t>
  </si>
  <si>
    <t xml:space="preserve">Proportion of urban population living in slums, informal settlements or inadequate housing </t>
  </si>
  <si>
    <t>_L_RW_110101_1</t>
  </si>
  <si>
    <t>Urban</t>
  </si>
  <si>
    <t>U</t>
  </si>
  <si>
    <t>EICV and RPHC5 2022, NISR</t>
  </si>
  <si>
    <t>Distribution of Households living in unplanned urban housing</t>
  </si>
  <si>
    <t>Table 5.2, Households by type of habitat, p. 51, EICV7 Main Indicators Report 2023/24 (2025). Needs review: The Data-sheet latest value is from 2017; update only after confirming whether the denominator is urban households or all households.</t>
  </si>
  <si>
    <t>11.5.1</t>
  </si>
  <si>
    <t>VC_DSR_MTMP</t>
  </si>
  <si>
    <t>Disaster Communication System/MINEMA Assessment</t>
  </si>
  <si>
    <t>Not applicable—source is not an NISR publication: Disaster Communication System/MINEMA Assessment.</t>
  </si>
  <si>
    <t>11.5.2</t>
  </si>
  <si>
    <t>_L_RW_110502_1</t>
  </si>
  <si>
    <t>11.b.2</t>
  </si>
  <si>
    <t>SG_DSR_SILN</t>
  </si>
  <si>
    <t>13.1.1</t>
  </si>
  <si>
    <t>VC_DSR_MORT_1</t>
  </si>
  <si>
    <t>13.1.3</t>
  </si>
  <si>
    <t>_L_RW_130103_1</t>
  </si>
  <si>
    <t>15.1.1</t>
  </si>
  <si>
    <t>Forest area as a proportion of total land area (%)</t>
  </si>
  <si>
    <t>AG_LND_FRST</t>
  </si>
  <si>
    <t>MoE</t>
  </si>
  <si>
    <t>Forest area as a proportion of total land area</t>
  </si>
  <si>
    <t>Not applicable—source is not an NISR publication: MoE.</t>
  </si>
  <si>
    <t>15.1.2</t>
  </si>
  <si>
    <t>Proportion of important sites for terrestrial and freshwater biodiversity that are covered by protected areas, by ecosystem type - Percentage of terrestrial and freshwater biodivesities that are covered by protected areas</t>
  </si>
  <si>
    <t>_L_RW_150102_1</t>
  </si>
  <si>
    <t>In land water assessment report</t>
  </si>
  <si>
    <t>Percentage of terrestrial and freshwater biodivesities that are covered by protected areas</t>
  </si>
  <si>
    <t>Not applicable—source is not an NISR publication: In land water assessment report.</t>
  </si>
  <si>
    <t>15.2.1</t>
  </si>
  <si>
    <t>Progress towards sustainable forest management: Proxy: Forests allocated private operators for management</t>
  </si>
  <si>
    <t>AG_LND_FRSTBIOM</t>
  </si>
  <si>
    <t>JSR,
Environment, 2021/2022</t>
  </si>
  <si>
    <t>Forests allocated private operators for management</t>
  </si>
  <si>
    <t>Not applicable—source is not an NISR publication: JSR, Environment, 2021/2022.</t>
  </si>
  <si>
    <t>15.4.1</t>
  </si>
  <si>
    <t>Coverage by protected areas of important sites for mountain biodiversity</t>
  </si>
  <si>
    <t>ER_PTD_MTN</t>
  </si>
  <si>
    <t>RWFA</t>
  </si>
  <si>
    <t>Average proportion of Mountain Key Biodiversity Areas (KBAs) covered by protected areas</t>
  </si>
  <si>
    <t>Not applicable—source is not an NISR publication: RWFA.</t>
  </si>
  <si>
    <t>15.7.1</t>
  </si>
  <si>
    <t>Proportion of traded wildlife that was poached or illicitly trafficked</t>
  </si>
  <si>
    <t>ER_WLD_TRPOACH</t>
  </si>
  <si>
    <t>Current data are collected on only 5 big wild animals in
Akagera National Parks, namely: Elephants (120),
Lions (40), Buf-falos
(4,000), Rhinoceros
(27), and Leopards (100). For this category the reported proportion of poached or illicitly traf-ficked is 0%, (GPS Tracking devises help
in their monitoring) their total counts is 4,287. Also, Gorillas are monitored and approximatlely 604 as
of 2021.</t>
  </si>
  <si>
    <t>16.1.1</t>
  </si>
  <si>
    <t>Number of victims of intentional homicide per 100,000 population, by sex and age</t>
  </si>
  <si>
    <t>VC_IHR_PSRC</t>
  </si>
  <si>
    <t>Rwanda Governance Score Card, RGB</t>
  </si>
  <si>
    <t>Number of victims of intentional homicide per 100,000 population</t>
  </si>
  <si>
    <t>Not applicable—source is not an NISR publication: Rwanda Governance Score Card, RGB.</t>
  </si>
  <si>
    <t>16.1.3</t>
  </si>
  <si>
    <t xml:space="preserve">Proportion of population subjected to physical, psychological or sexual violence in the previous 12 months </t>
  </si>
  <si>
    <t>_L_RW_160103_1</t>
  </si>
  <si>
    <t>Percent of women and  men, age 15-49 have experienced physical violence within the 12 months preceding the survey</t>
  </si>
  <si>
    <t>M</t>
  </si>
  <si>
    <t>Male</t>
  </si>
  <si>
    <t>Table 16.9.1 / related tables, Experience of physical violence, Domestic violence chapter, Rwanda DHS 2019–20 Final Report (2021). Needs review: Dashboard combines women and men; confirm weighting and exact violence definition.</t>
  </si>
  <si>
    <t>16.1.4</t>
  </si>
  <si>
    <t xml:space="preserve">Proportion of population that feel safe walking alone around the area they live </t>
  </si>
  <si>
    <t>VC_SNS_WALN</t>
  </si>
  <si>
    <t>Proportion of population that feel safe walking alone around the area they live in</t>
  </si>
  <si>
    <t>16.2.1</t>
  </si>
  <si>
    <t>Proportion of children aged 1–17 years who experienced any physical punishment and/or psychological aggression by caregivers in the past month</t>
  </si>
  <si>
    <t>VC_VAW_PHYPYV</t>
  </si>
  <si>
    <t>Proportion of children aged 1-17 years who experienced any physical punishment and/or psychological aggression by caregivers in the past month</t>
  </si>
  <si>
    <t>16.2.2</t>
  </si>
  <si>
    <t xml:space="preserve">Number of victims of human trafficking per 100,000 population, by sex, age and form of exploitation </t>
  </si>
  <si>
    <t>VC_VAW_DIST</t>
  </si>
  <si>
    <t>MINIJUST</t>
  </si>
  <si>
    <t>Age and sex distribution of detected victims of trafficking in persons (%)</t>
  </si>
  <si>
    <t>Not applicable—source is not an NISR publication: MINIJUST.</t>
  </si>
  <si>
    <t>16.2.3</t>
  </si>
  <si>
    <t>Proportion of young women and men aged 18–29 years who experienced sexual violence by age 18</t>
  </si>
  <si>
    <t>VC_VAW_SXVLN</t>
  </si>
  <si>
    <t>16.3.1</t>
  </si>
  <si>
    <t>Proportion of victims of violence in the previous 12 months who reported their victimization to competent authorities or other officially recognized conflict resolution mechanisms</t>
  </si>
  <si>
    <t>VC_PRR_PHYV</t>
  </si>
  <si>
    <t>16.3.2</t>
  </si>
  <si>
    <t xml:space="preserve">Unsentenced detainees as a proportion of overall prison population </t>
  </si>
  <si>
    <t>VC_PRS_UNSNT</t>
  </si>
  <si>
    <t>MINIJUST, JRLOS</t>
  </si>
  <si>
    <t>Unsentenced detainees as a proportion of overall prison population</t>
  </si>
  <si>
    <t>Not applicable—source is not an NISR publication: MINIJUST, JRLOS.</t>
  </si>
  <si>
    <t>16.5.1</t>
  </si>
  <si>
    <t>Proportion of persons who had at least one contact with a public official and who paid a bribe to a public official, or were asked for a bribe by those public officials, during the previous 12 months</t>
  </si>
  <si>
    <t>_L_RW_160501_1</t>
  </si>
  <si>
    <t>Percentage  of citizens who have encountered corruption while interacting with service providers</t>
  </si>
  <si>
    <t>16.5.2</t>
  </si>
  <si>
    <t>Proportion of businesses that had at least one contact with a public official and that paid a bribe to a public official, or were asked for a bribe by those public officials during the previous 12 months</t>
  </si>
  <si>
    <t>IC_FRM_BRIB</t>
  </si>
  <si>
    <t>Bribery incidence (% of firms experiencing at least one bribe payment request)</t>
  </si>
  <si>
    <t>16.6.1</t>
  </si>
  <si>
    <t xml:space="preserve"> Primary government expenditures as a proportion of original approved budget, by sector (or by budget codes or similar)</t>
  </si>
  <si>
    <t>GF_XPD_GBPC</t>
  </si>
  <si>
    <t>MINECOFIN, Budget Finance Law</t>
  </si>
  <si>
    <t>Primary government expenditures as a proportion of original approved budget</t>
  </si>
  <si>
    <t>Not applicable—source is not an NISR publication: MINECOFIN, Budget Finance Law.</t>
  </si>
  <si>
    <t>16.6.2</t>
  </si>
  <si>
    <t>Proportion of population satisfied with their last experience of public services -  Citizens' satisfaction with service delivery</t>
  </si>
  <si>
    <t>_L_RW_160602_1</t>
  </si>
  <si>
    <t>Citizens' satisfaction with service delivery</t>
  </si>
  <si>
    <t>16.7.2</t>
  </si>
  <si>
    <t>Proportion of population who believe decision-making is inclusive and responsive, by sex, age, disability and population group - Percentage of citizen satisfaction in their participation in decision making</t>
  </si>
  <si>
    <t>_L_RW_160702_1</t>
  </si>
  <si>
    <t>Percentage of citizen satisfaction in their participation in decision making</t>
  </si>
  <si>
    <t>16.9.1</t>
  </si>
  <si>
    <t>Proportion of children under 5 years of age whose births have been registered with a civil authority, by age (%)</t>
  </si>
  <si>
    <t>SG_REG_BRTH</t>
  </si>
  <si>
    <t>RDHS, 2014/15 and 2019/20, Census 2022</t>
  </si>
  <si>
    <t>Proportion of children under 5 years of age whose births have been registered with a civil authority</t>
  </si>
  <si>
    <t>NISR-related source stated as “RDHS, 2014/15 and 2019/20, Census 2022”; exact report/table/page not verified. Needs review—no reference has been invented.</t>
  </si>
  <si>
    <t>16.b.1</t>
  </si>
  <si>
    <t>_L_RW_160b01_1</t>
  </si>
  <si>
    <t>Reason for stopping last employment, Reason for stopping last employment, Labour Force Survey annual/microdata output (2024). Needs review: Same proxy issue as MAP-034; it does not directly measure SDG 16.b.1 discrimination.</t>
  </si>
  <si>
    <t>17.1.1</t>
  </si>
  <si>
    <t>Total government revenue as a proportion of GDP, by source</t>
  </si>
  <si>
    <t>GR_G14_GDP</t>
  </si>
  <si>
    <t>MINECOFIN</t>
  </si>
  <si>
    <t>Total government revenue as a proportion of GDP</t>
  </si>
  <si>
    <t>Not applicable—source is not an NISR publication: MINECOFIN.</t>
  </si>
  <si>
    <t>17.1.2</t>
  </si>
  <si>
    <t>Proportion of domestic budget funded by domestic taxes</t>
  </si>
  <si>
    <t>GC_GOB_TAXD</t>
  </si>
  <si>
    <t>17.3.1</t>
  </si>
  <si>
    <t>Foreign direct investments (FDI), official development assistance and South-South Cooperation as a proportion of total domestic budget (%)</t>
  </si>
  <si>
    <t>GF_FRN_FDIODASS</t>
  </si>
  <si>
    <t>Foreign direct investment (FDI), official development assistance and South-South cooperation as a proportion of total domestic budget</t>
  </si>
  <si>
    <t>17.3.2</t>
  </si>
  <si>
    <t>Volume of remittances (in United States dollars) as a proportion of total GDP</t>
  </si>
  <si>
    <t>BX_TRF_PWKR</t>
  </si>
  <si>
    <t>17.4.1</t>
  </si>
  <si>
    <t xml:space="preserve">Debt service as a proportion of exports of goods and services </t>
  </si>
  <si>
    <t>_L_RW_170401_1</t>
  </si>
  <si>
    <t>External Debt in nominal terms</t>
  </si>
  <si>
    <t>17.6.1</t>
  </si>
  <si>
    <t>Fixed Internet broadband subscriptions per 100 inhabitants, by speed</t>
  </si>
  <si>
    <t>IT_NET_BBND</t>
  </si>
  <si>
    <t>PER_100_POP</t>
  </si>
  <si>
    <t>RURA</t>
  </si>
  <si>
    <t xml:space="preserve"> Broadband
(≥256kbps)</t>
  </si>
  <si>
    <t>Not applicable—source is not an NISR publication: RURA.</t>
  </si>
  <si>
    <t>17.8.1</t>
  </si>
  <si>
    <t xml:space="preserve"> Proportion of individuals using the Internet </t>
  </si>
  <si>
    <t>IT_USE_II99</t>
  </si>
  <si>
    <t>DHS , RPHC5, NISR</t>
  </si>
  <si>
    <t>Table 20, Population who used internet by province and age group, p. 23, Fifth Rwanda Population and Housing Census 2022—Main Indicators Report (2023)</t>
  </si>
  <si>
    <t>17.11.1</t>
  </si>
  <si>
    <t xml:space="preserve">Developing countries and least developed countries share of global exports </t>
  </si>
  <si>
    <t>_L_RW_171101_1</t>
  </si>
  <si>
    <t>Exports goods and services in Million USD</t>
  </si>
  <si>
    <t>17.13.1</t>
  </si>
  <si>
    <t>Macroeconomic Dashboard</t>
  </si>
  <si>
    <t>MD_NY_GDP_PCAP</t>
  </si>
  <si>
    <t>Unnumbered/derived, Annual growth rate of real GDP per capita, National accounts time series, GDP National Accounts 2024—Annual Report (2025). Needs review: Duplicate economic series of MAP-025; both mappings should point to one reusable extraction rule.</t>
  </si>
  <si>
    <t>17.18.1</t>
  </si>
  <si>
    <t>Statistical capacity indicator for Sustainable Development Goal monitoring</t>
  </si>
  <si>
    <t>SD_SDG_AVLB</t>
  </si>
  <si>
    <t>NISR, SDG Platfoarm</t>
  </si>
  <si>
    <t>Proportion of sustainable development indicators produced at the national level with full disaggregation when relevant to the target, in accordance with the Fundamental Principles of Official Statistics</t>
  </si>
  <si>
    <t>Not a published table, National SDG indicator availability and disaggregation, Platform export, Rwanda SDG Data Platform administrative monitoring output (2024). Needs review: Define numerator, denominator and platform export version before automation; workbook source misspells ‘Platform’.</t>
  </si>
  <si>
    <t>17.19.1</t>
  </si>
  <si>
    <t>Dollar value of all resources made available to strengthen statistical capacity in developing countries</t>
  </si>
  <si>
    <t>SG_STT_CAPTY</t>
  </si>
  <si>
    <t> PARIS21</t>
  </si>
  <si>
    <t>Dollar value of all resources made available to strengthen statistical capacity in developing countries (current United States dollars)</t>
  </si>
  <si>
    <t>Not applicable—source is not an NISR publication: PARIS21.</t>
  </si>
  <si>
    <t>Element</t>
  </si>
  <si>
    <t>Type</t>
  </si>
  <si>
    <t>PosType</t>
  </si>
  <si>
    <t>Position</t>
  </si>
  <si>
    <t>DataStart</t>
  </si>
  <si>
    <t>V2</t>
  </si>
  <si>
    <t>FREQ</t>
  </si>
  <si>
    <t>DIM</t>
  </si>
  <si>
    <t>FIX</t>
  </si>
  <si>
    <t>A</t>
  </si>
  <si>
    <t>NumColumns</t>
  </si>
  <si>
    <t>REPORTING_TYPE</t>
  </si>
  <si>
    <t>N</t>
  </si>
  <si>
    <t>SERIES</t>
  </si>
  <si>
    <t>COLUMN</t>
  </si>
  <si>
    <t>C</t>
  </si>
  <si>
    <t>REF_AREA</t>
  </si>
  <si>
    <t>H</t>
  </si>
  <si>
    <t>TIME_PERIOD</t>
  </si>
  <si>
    <t>ROW</t>
  </si>
  <si>
    <t>SEX</t>
  </si>
  <si>
    <t>AGE</t>
  </si>
  <si>
    <t>URBANISATION</t>
  </si>
  <si>
    <t>L</t>
  </si>
  <si>
    <t>INCOME_WEALTH_QUANTILE</t>
  </si>
  <si>
    <t>EDUCATION_LEV</t>
  </si>
  <si>
    <t>OCCUPATION</t>
  </si>
  <si>
    <t>G</t>
  </si>
  <si>
    <t>CUST_BREAKDOWN</t>
  </si>
  <si>
    <t>COMPOSITE_BREAKDOWN</t>
  </si>
  <si>
    <t>D</t>
  </si>
  <si>
    <t>DISABILITY_STATUS</t>
  </si>
  <si>
    <t>PRODUCT</t>
  </si>
  <si>
    <t>ACTIVITY</t>
  </si>
  <si>
    <t>NATURE</t>
  </si>
  <si>
    <t>ATT</t>
  </si>
  <si>
    <t>_X</t>
  </si>
  <si>
    <t>SOURCE_DETAIL</t>
  </si>
  <si>
    <t>O</t>
  </si>
  <si>
    <t>COMMENT_OBS</t>
  </si>
  <si>
    <t>P</t>
  </si>
  <si>
    <t>UNIT_MEASURE</t>
  </si>
  <si>
    <t>E</t>
  </si>
  <si>
    <t>UNIT_MULT</t>
  </si>
  <si>
    <t>OBS_STATUS</t>
  </si>
  <si>
    <t>TIME_DETAIL</t>
  </si>
  <si>
    <t>Mapping_ID</t>
  </si>
  <si>
    <t>Dashboard_Description</t>
  </si>
  <si>
    <t>Data_Source</t>
  </si>
  <si>
    <t>Latest_Year</t>
  </si>
  <si>
    <t>Latest_Value</t>
  </si>
  <si>
    <t>Report_Family</t>
  </si>
  <si>
    <t>Report_Name</t>
  </si>
  <si>
    <t>Report_Year</t>
  </si>
  <si>
    <t>File_Type</t>
  </si>
  <si>
    <t>File_Name_or_Link</t>
  </si>
  <si>
    <t>Sheet_or_Page</t>
  </si>
  <si>
    <t>Table_No</t>
  </si>
  <si>
    <t>Table_Title</t>
  </si>
  <si>
    <t>Report_Indicator_Name</t>
  </si>
  <si>
    <t>Row_Label</t>
  </si>
  <si>
    <t>Column_Label</t>
  </si>
  <si>
    <t>Geography</t>
  </si>
  <si>
    <t>Disaggregation</t>
  </si>
  <si>
    <t>Extraction_Method</t>
  </si>
  <si>
    <t>Confidence</t>
  </si>
  <si>
    <t>Status</t>
  </si>
  <si>
    <t>Reviewer</t>
  </si>
  <si>
    <t>Notes</t>
  </si>
  <si>
    <t>Mapping_Type</t>
  </si>
  <si>
    <t>Source_or_Survey_Period</t>
  </si>
  <si>
    <t>Publication_Year</t>
  </si>
  <si>
    <t>Dashboard_Display_Year</t>
  </si>
  <si>
    <t>Calculation_or_Transformation_Rule</t>
  </si>
  <si>
    <t>Required_NISR_Review_Action</t>
  </si>
  <si>
    <t>MAP-001</t>
  </si>
  <si>
    <t>EICV</t>
  </si>
  <si>
    <t>EICV7 Main Indicators Report 2023/24</t>
  </si>
  <si>
    <t>PDF</t>
  </si>
  <si>
    <t>https://statistics.gov.rw/sites/default/files/documents/2025-07/EICV7_Main%20Indicator%20Report.pdf</t>
  </si>
  <si>
    <t>p. 79</t>
  </si>
  <si>
    <t>Headcount poverty rate (%)—EICV7 (2023/24)</t>
  </si>
  <si>
    <t>Total poverty rate (%)</t>
  </si>
  <si>
    <t>Rwanda</t>
  </si>
  <si>
    <t>Poverty rate (%)</t>
  </si>
  <si>
    <t>RW/National</t>
  </si>
  <si>
    <t>Total</t>
  </si>
  <si>
    <t>PDF table extraction</t>
  </si>
  <si>
    <t>High</t>
  </si>
  <si>
    <t>Ready</t>
  </si>
  <si>
    <t>Source checked</t>
  </si>
  <si>
    <t>Verified against the national value 27.4.</t>
  </si>
  <si>
    <t>Direct</t>
  </si>
  <si>
    <t>2023/24</t>
  </si>
  <si>
    <t>Direct extraction; no calculation. Preserve the published unit and disaggregation.</t>
  </si>
  <si>
    <t>No further action before pilot extraction; retain normal reviewer approval.</t>
  </si>
  <si>
    <t>MAP-002</t>
  </si>
  <si>
    <t>Proportion of men, women and children of all ages living in poverty in all it...</t>
  </si>
  <si>
    <t>Proportion of population living in poverty in all its dimensions according to...</t>
  </si>
  <si>
    <t>EICV7 Multidimensional Poverty Thematic Report</t>
  </si>
  <si>
    <t>https://statistics.gov.rw/data-sources/surveys/EICV/integrated-household-living-conditions-survey-7-eicv-7/eicv7-thematic-report-multidimensional-poverty</t>
  </si>
  <si>
    <t>p. 42</t>
  </si>
  <si>
    <t>Table B.5</t>
  </si>
  <si>
    <t>Incidence, Intensity and MPI, by area and province (k=33.3%)</t>
  </si>
  <si>
    <t>MPI (M0)</t>
  </si>
  <si>
    <t>National</t>
  </si>
  <si>
    <t>Uses the MPI index (M0), consistent with the original NISR SDG dashboard series SI_POV_NMPI and its historical values.</t>
  </si>
  <si>
    <t>Direct extract: National MPI (M0) index from Table B.5. Do not substitute multidimensional poverty incidence (H).</t>
  </si>
  <si>
    <t>Confirm that the dashboard continues to publish the MPI index for series SI_POV_NMPI; retain normal reviewer approval.</t>
  </si>
  <si>
    <t>MAP-003</t>
  </si>
  <si>
    <t>NISR, Food Balance Sheets (FBS)</t>
  </si>
  <si>
    <t>Food Balance Sheets</t>
  </si>
  <si>
    <t>Rwanda Food Balance Sheets 2023–2024</t>
  </si>
  <si>
    <t>https://www.statistics.gov.rw/sites/default/files/documents/2025-09/Rwanda_Food_Balace%20Sheet_2023_24_.pdf</t>
  </si>
  <si>
    <t>p. 20</t>
  </si>
  <si>
    <t>Table 14</t>
  </si>
  <si>
    <t>Prevalence of Undernourishment</t>
  </si>
  <si>
    <t>PoU (%)</t>
  </si>
  <si>
    <t>2024</t>
  </si>
  <si>
    <t>National 2024 value is 31.3%.</t>
  </si>
  <si>
    <t>MAP-004</t>
  </si>
  <si>
    <t>Prevalence of moderate or severe food insecurity in the population, based on ...</t>
  </si>
  <si>
    <t>CFSVA 2024, NISR</t>
  </si>
  <si>
    <t>Other NISR</t>
  </si>
  <si>
    <t>Rwanda Comprehensive Food Security and Vulnerability Analysis (CFSVA) 2024</t>
  </si>
  <si>
    <t>https://www.statistics.gov.rw/sites/default/files/documents/2025-07/Rwanda%20CFSVA%202024.pdf</t>
  </si>
  <si>
    <t>p. 81</t>
  </si>
  <si>
    <t>Table 9.2</t>
  </si>
  <si>
    <t>CARI console for 2021 and 2024</t>
  </si>
  <si>
    <t>Moderately food insecure</t>
  </si>
  <si>
    <t>CARI 2024</t>
  </si>
  <si>
    <t>Medium</t>
  </si>
  <si>
    <t>Proxy—Approval Required</t>
  </si>
  <si>
    <t>Pending NISR subject-matter approval</t>
  </si>
  <si>
    <t>CARI moderate food insecurity is not the same measure as the official FIES-based SDG 2.1.2. Keep only as an NISR proxy if formally approved and clearly labelled.</t>
  </si>
  <si>
    <t>Proxy</t>
  </si>
  <si>
    <t>No conversion. If approved as proxy, extract the CARI “moderately food insecure” percentage and label it as a proxy.</t>
  </si>
  <si>
    <t>Subject-matter and policy approval; public label must state that the measure is a proxy.</t>
  </si>
  <si>
    <t>MAP-005</t>
  </si>
  <si>
    <t>Prevalence of stunting (height for age &lt;-2 standard deviation from the median...</t>
  </si>
  <si>
    <t>DHS</t>
  </si>
  <si>
    <t>Rwanda DHS 2025 Final Report</t>
  </si>
  <si>
    <t>https://statistics.gov.rw/sites/default/files/documents/2026-06/Rwanda-DHS-2025-Final-Report.pdf</t>
  </si>
  <si>
    <t>Nutrition chapter</t>
  </si>
  <si>
    <t>Figure/Table—nutrition trend</t>
  </si>
  <si>
    <t>Trends in nutritional status of children</t>
  </si>
  <si>
    <t>Stunted</t>
  </si>
  <si>
    <t>2025 survey</t>
  </si>
  <si>
    <t>Needs Review</t>
  </si>
  <si>
    <t>Pending NISR reviewer</t>
  </si>
  <si>
    <t>Dashboard labels the latest period as 2024; confirm whether it should be displayed as 2025 survey year.</t>
  </si>
  <si>
    <t>Resolve the issue stated in Notes and confirm the exact source/table or calculation.</t>
  </si>
  <si>
    <t>MAP-006</t>
  </si>
  <si>
    <t>Prevalence of malnutrition (weight for height &gt;+2 or &lt;-2 standard deviation f...</t>
  </si>
  <si>
    <t>Wasted</t>
  </si>
  <si>
    <t>Dashboard labels the latest period as 2024; confirm year convention.</t>
  </si>
  <si>
    <t>MAP-007</t>
  </si>
  <si>
    <t>Maternal mortality chapter</t>
  </si>
  <si>
    <t>Maternal mortality trend</t>
  </si>
  <si>
    <t>0–4 years before survey</t>
  </si>
  <si>
    <t>Value is a five-year retrospective estimate; confirm dashboard year assignment.</t>
  </si>
  <si>
    <t>0–4 years before 2025 survey</t>
  </si>
  <si>
    <t>MAP-008</t>
  </si>
  <si>
    <t>Maternal health chapter</t>
  </si>
  <si>
    <t>Delivery chart/table</t>
  </si>
  <si>
    <t>Delivery care</t>
  </si>
  <si>
    <t>Birth attended by skilled provider</t>
  </si>
  <si>
    <t>Skilled provider</t>
  </si>
  <si>
    <t>Confirm exact final-report table number before coding automated extraction.</t>
  </si>
  <si>
    <t>2025 survey/reference period in table</t>
  </si>
  <si>
    <t>MAP-009</t>
  </si>
  <si>
    <t>Child mortality chapter</t>
  </si>
  <si>
    <t>Childhood mortality rates</t>
  </si>
  <si>
    <t>Under-five mortality</t>
  </si>
  <si>
    <t>Deaths per 1,000</t>
  </si>
  <si>
    <t>Five-year retrospective estimate; confirm dashboard year convention.</t>
  </si>
  <si>
    <t>MAP-010</t>
  </si>
  <si>
    <t>Neonatal mortality</t>
  </si>
  <si>
    <t>MAP-011</t>
  </si>
  <si>
    <t>Rwanda Statistical Yearbook 2024</t>
  </si>
  <si>
    <t>https://statistics.gov.rw/sites/default/files/documents/2025-02/Statistical_Year_Book_2024.pdf</t>
  </si>
  <si>
    <t>p. 148</t>
  </si>
  <si>
    <t>Table 14.2.8</t>
  </si>
  <si>
    <t>Death’s rate due to road traffic injuries</t>
  </si>
  <si>
    <t>Rate due to road accidents</t>
  </si>
  <si>
    <t>2022</t>
  </si>
  <si>
    <t>Pending newer NISR source</t>
  </si>
  <si>
    <t>Corrected status: the cited Statistical Yearbook table ends at 2022. Do not load the 2024 value until a newer NISR/police source table is identified.</t>
  </si>
  <si>
    <t>2022 verified source year</t>
  </si>
  <si>
    <t>MAP-012</t>
  </si>
  <si>
    <t>Proportion of women of reproductive age (aged 15-49 years) who have their nee...</t>
  </si>
  <si>
    <t>Proportion of women married or in a union of reproductive age (aged 15-49 yea...</t>
  </si>
  <si>
    <t>Family planning chapter</t>
  </si>
  <si>
    <t>Demand satisfied chart/table</t>
  </si>
  <si>
    <t>Use, need and demand for family planning</t>
  </si>
  <si>
    <t>Demand satisfied by modern methods</t>
  </si>
  <si>
    <t>Women in marital union 15–49</t>
  </si>
  <si>
    <t>Confirm whether dashboard uses all women or women in marital union.</t>
  </si>
  <si>
    <t>Partial match</t>
  </si>
  <si>
    <t>Document the exact extraction/calculation rule before automation.</t>
  </si>
  <si>
    <t>MAP-013</t>
  </si>
  <si>
    <t>Adolescent birth rate (aged 10-14 years; aged 15-19 years) per 1,000 women in...</t>
  </si>
  <si>
    <t>Fertility chapter</t>
  </si>
  <si>
    <t>Teenage pregnancy trend</t>
  </si>
  <si>
    <t>Teenage pregnancy</t>
  </si>
  <si>
    <t>Ever pregnant</t>
  </si>
  <si>
    <t>Women 15–19</t>
  </si>
  <si>
    <t>Low</t>
  </si>
  <si>
    <t>Percentage of teenagers ever pregnant is not an adolescent birth rate per 1,000. Do not publish it under SDG 3.7.2 unless NISR approves it as a clearly labelled proxy.</t>
  </si>
  <si>
    <t>MAP-014</t>
  </si>
  <si>
    <t>Age-standardized prevalence of current tobacco use among persons aged 15 year...</t>
  </si>
  <si>
    <t>Rwanda DHS 2019–20 Final Report</t>
  </si>
  <si>
    <t>https://www.statistics.gov.rw/sites/default/files/documents/2025-01/Rwanda%20DHS%202019-20_FINAL%20REPORT_N.pdf</t>
  </si>
  <si>
    <t>pp. 57–58</t>
  </si>
  <si>
    <t>Tables 3.10.1–3.10.2</t>
  </si>
  <si>
    <t>Tobacco smoking: Women and Men</t>
  </si>
  <si>
    <t>Any type of tobacco</t>
  </si>
  <si>
    <t>Sex-combined age-standardized value</t>
  </si>
  <si>
    <t>Pending calculation validation</t>
  </si>
  <si>
    <t>A combined age-standardized value must have a documented numerator, denominator, sex weighting and age-standardization method before automation.</t>
  </si>
  <si>
    <t>Derived</t>
  </si>
  <si>
    <t>2019/20 survey</t>
  </si>
  <si>
    <t>Document sex weights and age-standardization formula; do not automate until approved.</t>
  </si>
  <si>
    <t>MAP-015</t>
  </si>
  <si>
    <t>Proportion of children under 5 years of age who are developmentally on track ...</t>
  </si>
  <si>
    <t>Proportion of children aged 36-59 months who are developmentally on track in ...</t>
  </si>
  <si>
    <t>DHS 2019/20, NISR</t>
  </si>
  <si>
    <t>Early childhood development chapter</t>
  </si>
  <si>
    <t>ECDI table</t>
  </si>
  <si>
    <t>Early Childhood Development Index</t>
  </si>
  <si>
    <t>Developmentally on track in at least three domains</t>
  </si>
  <si>
    <t>Children 36–59 months</t>
  </si>
  <si>
    <t>Exact table number should be confirmed in the final report before automation.</t>
  </si>
  <si>
    <t>MAP-016</t>
  </si>
  <si>
    <t>Proportion of youth and adults with information and communications technology...</t>
  </si>
  <si>
    <t>p. 43</t>
  </si>
  <si>
    <t>Table 4.11</t>
  </si>
  <si>
    <t>Individuals aged 10+ who used computer skills in the last three months</t>
  </si>
  <si>
    <t>Copying/moving a file or folder</t>
  </si>
  <si>
    <t>Latest Data-sheet value is 2024, not 2020.</t>
  </si>
  <si>
    <t>MAP-017</t>
  </si>
  <si>
    <t>Parity indices (female/male, rural/urban, bottom/top wealth quantile and othe...</t>
  </si>
  <si>
    <t>Gender parity index for participation rate in formal and non-formal education...</t>
  </si>
  <si>
    <t>p. 44</t>
  </si>
  <si>
    <t>Table 4.12</t>
  </si>
  <si>
    <t>Net and Gross Attendance Rates in primary school</t>
  </si>
  <si>
    <t>Gender Parity Index—primary NAR</t>
  </si>
  <si>
    <t>Net attendance ratio: GPI</t>
  </si>
  <si>
    <t>Corrected from the earlier incorrect Table 7.3 reference; latest Data-sheet value is 2024.</t>
  </si>
  <si>
    <t>MAP-018</t>
  </si>
  <si>
    <t>Proportion of ever-partnered women and girls aged 15 years and older subjecte...</t>
  </si>
  <si>
    <t>Proportion of ever-partnered women and girls subjected to physical violence b...</t>
  </si>
  <si>
    <t>SDG summary p. xxviii / domestic violence chapter</t>
  </si>
  <si>
    <t>Table 16.9.1</t>
  </si>
  <si>
    <t>Spousal violence by background characteristics</t>
  </si>
  <si>
    <t>Physical violence by a current or former intimate partner</t>
  </si>
  <si>
    <t>Physical violence</t>
  </si>
  <si>
    <t>Past 12 months</t>
  </si>
  <si>
    <t>Pending exact table-cell confirmation</t>
  </si>
  <si>
    <t>Corrected from the combined physical, sexual or emotional violence value (30.0%). The candidate physical-violence value is 19.7%; confirm the exact partner and past-12-month table cell before approval.</t>
  </si>
  <si>
    <t>2019/20 survey; past 12 months</t>
  </si>
  <si>
    <t>Direct extract of physical violence only; exclude sexual/emotional categories and confirm current/former partner plus past-12-month scope.</t>
  </si>
  <si>
    <t>MAP-019</t>
  </si>
  <si>
    <t>Proportion of women and girls aged 15 years and older subjected to sexual vio...</t>
  </si>
  <si>
    <t>Proportion of women and girls aged 15 years and older subjected to sexual vio...</t>
  </si>
  <si>
    <t>Domestic violence chapter</t>
  </si>
  <si>
    <t>Relevant non-partner sexual violence table</t>
  </si>
  <si>
    <t>Sexual violence by a non-partner</t>
  </si>
  <si>
    <t>Experienced sexual violence</t>
  </si>
  <si>
    <t>Women 15–49</t>
  </si>
  <si>
    <t>Confirm that 8.6 refers to non-partner violence in the past 12 months rather than ever experienced.</t>
  </si>
  <si>
    <t>MAP-020</t>
  </si>
  <si>
    <t>Proportion of women aged 20-24 years who were married or in a union before ag...</t>
  </si>
  <si>
    <t>SDG summary p. xxviii</t>
  </si>
  <si>
    <t>Table 4.3</t>
  </si>
  <si>
    <t>Age at first marriage</t>
  </si>
  <si>
    <t>Married before age 15</t>
  </si>
  <si>
    <t>Women 20–24</t>
  </si>
  <si>
    <t>Before age 15</t>
  </si>
  <si>
    <t>National value 0.3%.</t>
  </si>
  <si>
    <t>MAP-021</t>
  </si>
  <si>
    <t>Proportion of time spent on unpaid domestic and care work, by sex, age and lo...</t>
  </si>
  <si>
    <t>LFS</t>
  </si>
  <si>
    <t>Labour Force Survey Annual Report 2024</t>
  </si>
  <si>
    <t>https://statistics.gov.rw/sites/default/files/documents/2025-05/Annual%20Report%20LFS%202024.pdf</t>
  </si>
  <si>
    <t>Time-use/unpaid work item</t>
  </si>
  <si>
    <t>Not verified</t>
  </si>
  <si>
    <t>Time spent on unpaid care work</t>
  </si>
  <si>
    <t>Hours per week</t>
  </si>
  <si>
    <t>AI-assisted match</t>
  </si>
  <si>
    <t>The LFS annual report does not expose a verified numbered table matching this derived indicator; likely requires microdata/direct Excel output.</t>
  </si>
  <si>
    <t>MAP-022</t>
  </si>
  <si>
    <t>Employment by occupation section</t>
  </si>
  <si>
    <t>Women in managerial positions</t>
  </si>
  <si>
    <t>Managerial positions</t>
  </si>
  <si>
    <t>Share of managers</t>
  </si>
  <si>
    <t>Confirm occupation-code definition and denominator before automation.</t>
  </si>
  <si>
    <t>2023/2024 to confirm</t>
  </si>
  <si>
    <t>MAP-023</t>
  </si>
  <si>
    <t>Proportion of women aged 15-49 years who make their own informed decisions re...</t>
  </si>
  <si>
    <t>Proportion of women who make their own informed decisions regarding sexual re...</t>
  </si>
  <si>
    <t>SDG 5.6.1 summary (no source table number shown)</t>
  </si>
  <si>
    <t>Informed decisions regarding sexual relations, contraceptive use and reproductive health care</t>
  </si>
  <si>
    <t>All three decisions</t>
  </si>
  <si>
    <t>Manual entry</t>
  </si>
  <si>
    <t>Value 63.1 is shown in the report’s SDG summary, but the underlying numbered table was not identified.</t>
  </si>
  <si>
    <t>MAP-024</t>
  </si>
  <si>
    <t>p. 57</t>
  </si>
  <si>
    <t>Table 5.9</t>
  </si>
  <si>
    <t>Households by main type of cooking fuel</t>
  </si>
  <si>
    <t>Clean cooking fuels</t>
  </si>
  <si>
    <t>Electricity + gas/biogas/other approved clean fuels</t>
  </si>
  <si>
    <t>Pending fuel-category rule approval</t>
  </si>
  <si>
    <t>The report lists individual fuel categories. Automation requires an approved list of clean-fuel categories and an explicit summation rule before this mapping is Ready.</t>
  </si>
  <si>
    <t>Sum only NISR-approved clean-fuel categories; record each included category and verify the total equals the published/approved value.</t>
  </si>
  <si>
    <t>MAP-025</t>
  </si>
  <si>
    <t>National Accounts</t>
  </si>
  <si>
    <t>GDP National Accounts 2024—Annual Report</t>
  </si>
  <si>
    <t>https://statistics.gov.rw/sites/default/files/documents/2025-03/GDP%20National%20Accounts%202024%20Annual.pdf</t>
  </si>
  <si>
    <t>National accounts time series</t>
  </si>
  <si>
    <t>Unnumbered/derived</t>
  </si>
  <si>
    <t>Real GDP per capita growth</t>
  </si>
  <si>
    <t>Excel direct cell</t>
  </si>
  <si>
    <t>Value is derived from GDP and population series; identify the official National Accounts Excel cell for repeatable extraction.</t>
  </si>
  <si>
    <t>((Real GDP per capita_t / Real GDP per capita_t-1) - 1) × 100, using approved NISR National Accounts and population series.</t>
  </si>
  <si>
    <t>MAP-026</t>
  </si>
  <si>
    <t>Proportion of informal employment in non‑agriculture employment, by sex</t>
  </si>
  <si>
    <t>p. 14</t>
  </si>
  <si>
    <t>Unnumbered summary table</t>
  </si>
  <si>
    <t>Trend of Labour Force Survey main indicators</t>
  </si>
  <si>
    <t>Informal employment in non-agriculture employment (%)</t>
  </si>
  <si>
    <t>Indicator column</t>
  </si>
  <si>
    <t>National 2024 value 85.5%.</t>
  </si>
  <si>
    <t>MAP-027</t>
  </si>
  <si>
    <t>Average hourly earnings of female and male employees, by occupation, age and ...</t>
  </si>
  <si>
    <t>Labour Force Survey microdata/indicator output</t>
  </si>
  <si>
    <t>Excel</t>
  </si>
  <si>
    <t>Direct output required</t>
  </si>
  <si>
    <t>Not in verified report table</t>
  </si>
  <si>
    <t>Total employees</t>
  </si>
  <si>
    <t>Dashboard value 3,496.26 does not match Figure 4.15 average hourly cash income; confirm variable, denominator and source output.</t>
  </si>
  <si>
    <t>MAP-028</t>
  </si>
  <si>
    <t>p. 40</t>
  </si>
  <si>
    <t>Figure 5.1</t>
  </si>
  <si>
    <t>Unemployment rate by sex</t>
  </si>
  <si>
    <t>National 2024 value 14.9% (workbook stores 14.93).</t>
  </si>
  <si>
    <t>MAP-029</t>
  </si>
  <si>
    <t>Proportion of youth (aged 15-24 years) not in education, employment or training</t>
  </si>
  <si>
    <t>p. 50</t>
  </si>
  <si>
    <t>Figure 7.5</t>
  </si>
  <si>
    <t>Youth not in employment and not in education or training</t>
  </si>
  <si>
    <t>NEET rate</t>
  </si>
  <si>
    <t>Age 16–24</t>
  </si>
  <si>
    <t>Pending age-definition decision</t>
  </si>
  <si>
    <t>The NISR report uses age 16–24, while SDG 8.6.1 uses age 15–24. Do not treat this as an exact match without an approved national definition note.</t>
  </si>
  <si>
    <t>MAP-030</t>
  </si>
  <si>
    <t>Proportion and number of children aged 5‑17 years engaged in child labour, by...</t>
  </si>
  <si>
    <t>Economic activity/child work output</t>
  </si>
  <si>
    <t>Children engaged in economic activity</t>
  </si>
  <si>
    <t>Child economic activity rate</t>
  </si>
  <si>
    <t>Age 5–17</t>
  </si>
  <si>
    <t>No matching numbered national table was verified in the EICV7 main report; likely requires EICV analytical output.</t>
  </si>
  <si>
    <t>MAP-031</t>
  </si>
  <si>
    <t>Proportion of adults (15 years and older) with an account at a bank or other ...</t>
  </si>
  <si>
    <t>NISR source not yet identified</t>
  </si>
  <si>
    <t>NISR report/source to be identified</t>
  </si>
  <si>
    <t>Account ownership</t>
  </si>
  <si>
    <t>Adults 15+</t>
  </si>
  <si>
    <t>To Map</t>
  </si>
  <si>
    <t>NISR source owner required</t>
  </si>
  <si>
    <t>Removed the unverified FinScope/proxy mapping from NISR automation. Identify an official NISR source measuring individual account ownership for adults 15+ before mapping.</t>
  </si>
  <si>
    <t>Unmapped</t>
  </si>
  <si>
    <t>Not identified</t>
  </si>
  <si>
    <t>No rule until an official NISR source is identified.</t>
  </si>
  <si>
    <t>Identify an official NISR report/table and establish the exact indicator definition.</t>
  </si>
  <si>
    <t>MAP-032</t>
  </si>
  <si>
    <t>Manufacturing value added as a proportion of GDP and per capita</t>
  </si>
  <si>
    <t>Production approach tables</t>
  </si>
  <si>
    <t>Manufacturing value added as a proportion of GDP</t>
  </si>
  <si>
    <t>Manufacturing GVA / GDP</t>
  </si>
  <si>
    <t>Use the official National Accounts Excel workbook and record numerator/denominator cells; dashboard currently ends at 2023.</t>
  </si>
  <si>
    <t>2024 source; dashboard through 2023</t>
  </si>
  <si>
    <t>(Manufacturing gross value added / GDP) × 100 using matching current/constant-price basis and period.</t>
  </si>
  <si>
    <t>MAP-033</t>
  </si>
  <si>
    <t>p. 15</t>
  </si>
  <si>
    <t>Manufacturing employment as % of total employment</t>
  </si>
  <si>
    <t>National 2024 value 5.7%.</t>
  </si>
  <si>
    <t>MAP-034</t>
  </si>
  <si>
    <t>Proportion of population reporting having personally felt discriminated again...</t>
  </si>
  <si>
    <t>Labour Force Survey annual/microdata output</t>
  </si>
  <si>
    <t>Reason for stopping last employment</t>
  </si>
  <si>
    <t>Physical and social harassment</t>
  </si>
  <si>
    <t>Reason for stopping employment due to harassment does not measure the share of the population who personally felt discriminated against. Keep only as a clearly labelled proxy if approved.</t>
  </si>
  <si>
    <t>No transformation can make this an exact SDG measure; publish only as an approved proxy.</t>
  </si>
  <si>
    <t>MAP-035</t>
  </si>
  <si>
    <t>Proportion of urban population living in slums, informal settlements or inade...</t>
  </si>
  <si>
    <t>p. 51</t>
  </si>
  <si>
    <t>Table 5.2</t>
  </si>
  <si>
    <t>Households by type of habitat</t>
  </si>
  <si>
    <t>Spontaneous/informal/unplanned housing</t>
  </si>
  <si>
    <t>Urban households</t>
  </si>
  <si>
    <t>Habitat type</t>
  </si>
  <si>
    <t>Unplanned housing alone does not measure the full SDG slum/inadequate-housing definition. Approve and label as a national proxy or derive the official composite measure.</t>
  </si>
  <si>
    <t>No transformation unless NISR defines and calculates the full slum/inadequate-housing composite; otherwise label as proxy.</t>
  </si>
  <si>
    <t>MAP-036</t>
  </si>
  <si>
    <t>Proportion of population subjected to physical, psychological or sexual viole...</t>
  </si>
  <si>
    <t>Percent of women and  men, age 15-49 have experienced physical violence withi...</t>
  </si>
  <si>
    <t>Table 16.9.1 / related tables</t>
  </si>
  <si>
    <t>Experience of physical violence</t>
  </si>
  <si>
    <t>Physical violence in past 12 months</t>
  </si>
  <si>
    <t>Women and men 15–49</t>
  </si>
  <si>
    <t>Dashboard combines women and men; confirm weighting and exact violence definition.</t>
  </si>
  <si>
    <t>MAP-037</t>
  </si>
  <si>
    <t>Same definition mismatch as MAP-034: employment-exit harassment is not the SDG discrimination prevalence measure.</t>
  </si>
  <si>
    <t>MAP-038</t>
  </si>
  <si>
    <t>Proportion of individuals using the Internet</t>
  </si>
  <si>
    <t>Fifth Rwanda Population and Housing Census 2022—Main Indicators Report</t>
  </si>
  <si>
    <t>https://www.statistics.gov.rw/sites/default/files/documents/2025-02/RPHC5_MainIndicatorsReport_Final.pdf</t>
  </si>
  <si>
    <t>p. 23</t>
  </si>
  <si>
    <t>Table 20</t>
  </si>
  <si>
    <t>Population who used internet by province and age group</t>
  </si>
  <si>
    <t>Used internet</t>
  </si>
  <si>
    <t>Population 16+</t>
  </si>
  <si>
    <t>Percentage</t>
  </si>
  <si>
    <t>Pending denominator confirmation</t>
  </si>
  <si>
    <t>The cited value uses population age 16+, while SDG 17.8.1 normally requires a defined population denominator. Confirm the national dashboard denominator and label it explicitly.</t>
  </si>
  <si>
    <t>2022 census</t>
  </si>
  <si>
    <t>MAP-039</t>
  </si>
  <si>
    <t>Duplicate economic series of MAP-025; both mappings should point to one reusable extraction rule.</t>
  </si>
  <si>
    <t>Reuse the approved MAP-025 extraction/calculation rule; do not maintain a second independent calculation.</t>
  </si>
  <si>
    <t>MAP-040</t>
  </si>
  <si>
    <t>Proportion of SDG indicators produced at national level with full disaggregation where relevant</t>
  </si>
  <si>
    <t>NISR, SDG Platform</t>
  </si>
  <si>
    <t>Rwanda SDG Data Platform administrative monitoring output</t>
  </si>
  <si>
    <t>https://data.gov.rw/</t>
  </si>
  <si>
    <t>Platform export</t>
  </si>
  <si>
    <t>Not a published table</t>
  </si>
  <si>
    <t>National SDG indicator availability and disaggregation</t>
  </si>
  <si>
    <t>Indicators fully produced and disaggregated</t>
  </si>
  <si>
    <t>Reporting year</t>
  </si>
  <si>
    <t>Corrected “Platform” spelling. Define the numerator, denominator, reporting cut-off date and exact NISR platform export version before automation.</t>
  </si>
  <si>
    <t>2023 reporting year</t>
  </si>
  <si>
    <t>(Number of nationally produced SDG indicators with required disaggregation / approved indicator denominator) × 100; freeze the export cut-off date.</t>
  </si>
  <si>
    <t>Report_ID</t>
  </si>
  <si>
    <t>Publication_Date</t>
  </si>
  <si>
    <t>Frequency</t>
  </si>
  <si>
    <t>Owner</t>
  </si>
  <si>
    <t>REP-001</t>
  </si>
  <si>
    <t>2026-06</t>
  </si>
  <si>
    <t>5 years</t>
  </si>
  <si>
    <t>In Progress</t>
  </si>
  <si>
    <t>NISR health statistics</t>
  </si>
  <si>
    <t>DHS chart/table numbers for several dashboard proxies still need reviewer confirmation.</t>
  </si>
  <si>
    <t>REP-002</t>
  </si>
  <si>
    <t>2025-04</t>
  </si>
  <si>
    <t>Periodic</t>
  </si>
  <si>
    <t>NISR household surveys</t>
  </si>
  <si>
    <t>Primary EICV source; MPI uses a separate EICV7 thematic report.</t>
  </si>
  <si>
    <t>REP-003</t>
  </si>
  <si>
    <t>2025</t>
  </si>
  <si>
    <t>Annual</t>
  </si>
  <si>
    <t>NISR agriculture statistics</t>
  </si>
  <si>
    <t>PoU mapped to Table 14.</t>
  </si>
  <si>
    <t>REP-004</t>
  </si>
  <si>
    <t>2025-05</t>
  </si>
  <si>
    <t>NISR labour statistics</t>
  </si>
  <si>
    <t>Published summary indicators mapped; microdata-derived proxy indicators need review.</t>
  </si>
  <si>
    <t>REP-005</t>
  </si>
  <si>
    <t>2025-03</t>
  </si>
  <si>
    <t>NISR economic statistics</t>
  </si>
  <si>
    <t>Automation should use the official Excel time series for derived ratios/per-capita growth.</t>
  </si>
  <si>
    <t>REP-006</t>
  </si>
  <si>
    <t>CFSVA 2024 / Statistical Yearbook 2024 / RPHC5 Main Indicators / SDG Platform</t>
  </si>
  <si>
    <t>PDF+Excel</t>
  </si>
  <si>
    <t>See individual mapping links</t>
  </si>
  <si>
    <t>Mixed</t>
  </si>
  <si>
    <t>Relevant NISR units</t>
  </si>
  <si>
    <t>This family contains multiple independent publications; use the mapping-level link and rule.</t>
  </si>
  <si>
    <t>Update_ID</t>
  </si>
  <si>
    <t>Year</t>
  </si>
  <si>
    <t>Old_Value</t>
  </si>
  <si>
    <t>New_Value</t>
  </si>
  <si>
    <t>Difference</t>
  </si>
  <si>
    <t>Source_Report</t>
  </si>
  <si>
    <t>Table_or_Sheet</t>
  </si>
  <si>
    <t>Evidence_Page</t>
  </si>
  <si>
    <t>Extraction_Date</t>
  </si>
  <si>
    <t>Reviewer_Comment</t>
  </si>
  <si>
    <t>UPD-001</t>
  </si>
  <si>
    <t>Pending Review</t>
  </si>
  <si>
    <t>Status_List</t>
  </si>
  <si>
    <t>File_Type_List</t>
  </si>
  <si>
    <t>Method_List</t>
  </si>
  <si>
    <t>Confidence_List</t>
  </si>
  <si>
    <t>Approved</t>
  </si>
  <si>
    <t>Rejected</t>
  </si>
  <si>
    <t>Not Started</t>
  </si>
  <si>
    <t>Item</t>
  </si>
  <si>
    <t>Value</t>
  </si>
  <si>
    <t>Purpose</t>
  </si>
  <si>
    <t>Starter workbook to automate NISR-sourced SDG dashboard updates from PDF and Excel reports.</t>
  </si>
  <si>
    <t>NISR-sourced indicators included</t>
  </si>
  <si>
    <t>Report families detected</t>
  </si>
  <si>
    <t>Recommended first step</t>
  </si>
  <si>
    <t>Review rows marked ‘Needs Review’ or ‘Proxy—Approval Required’. Only ‘Ready’ rows should enter pilot extraction, and all extracted values still require approval.</t>
  </si>
  <si>
    <t>Automation logic</t>
  </si>
  <si>
    <t>The extraction script should use Mapping_ID/Series_Code + report/table/row rules, not indicator name only.</t>
  </si>
  <si>
    <t>Approval rule</t>
  </si>
  <si>
    <t>Extracted values go to Proposed_Updates first. Dashboard data should update only after review/approval.</t>
  </si>
  <si>
    <t>Live mapping checks</t>
  </si>
  <si>
    <t>Formula</t>
  </si>
  <si>
    <t>Ready count</t>
  </si>
  <si>
    <t>Needs review count</t>
  </si>
  <si>
    <t>Proxy—approval count</t>
  </si>
  <si>
    <t>Still to map</t>
  </si>
  <si>
    <t>Approved proposed updates</t>
  </si>
  <si>
    <t>Issue corrected</t>
  </si>
  <si>
    <t>Correction made</t>
  </si>
  <si>
    <t>Why it matters</t>
  </si>
  <si>
    <t>MPI mapping clarified after confirming the original dashboard series uses the MPI index</t>
  </si>
  <si>
    <t>Retained value 0.136 and unit IX; extraction rule explicitly selects National MPI (M0)</t>
  </si>
  <si>
    <t>Keeps automation consistent with series SI_POV_NMPI and the historical MPI index values in the original NISR data</t>
  </si>
  <si>
    <t>CARI measure treated as exact SDG 2.1.2</t>
  </si>
  <si>
    <t>Marked Proxy—Approval Required</t>
  </si>
  <si>
    <t>CARI and FIES are different measures</t>
  </si>
  <si>
    <t>Marked Ready although source ends in 2022</t>
  </si>
  <si>
    <t>Changed to Needs Review</t>
  </si>
  <si>
    <t>Prevents unsupported 2024 update</t>
  </si>
  <si>
    <t>Teenage pregnancy percentage mapped to birth rate</t>
  </si>
  <si>
    <t>Percent ever pregnant is not births per 1,000</t>
  </si>
  <si>
    <t>Combined tobacco value lacked formula</t>
  </si>
  <si>
    <t>Changed to Needs Review; calculation documentation required</t>
  </si>
  <si>
    <t>Supports repeatable age/sex standardization</t>
  </si>
  <si>
    <t>Combined violence value used for physical-violence indicator</t>
  </si>
  <si>
    <t>Candidate value changed to 19.7 and status set to Needs Review</t>
  </si>
  <si>
    <t>Keeps the measure aligned with the indicator scope</t>
  </si>
  <si>
    <t>Clean-fuel total had no category rule</t>
  </si>
  <si>
    <t>Changed to Needs Review; explicit aggregation required</t>
  </si>
  <si>
    <t>Prevents inconsistent category summation</t>
  </si>
  <si>
    <t>Age 16–24 treated as age 15–24</t>
  </si>
  <si>
    <t>Makes the denominator difference visible</t>
  </si>
  <si>
    <t>Unverified/non-NISR source treated as a mapping</t>
  </si>
  <si>
    <t>Changed to To Map; source fields cleared</t>
  </si>
  <si>
    <t>Keeps this phase limited to verified NISR sources</t>
  </si>
  <si>
    <t>MAP-034 / MAP-037</t>
  </si>
  <si>
    <t>Employment-exit harassment mapped to discrimination prevalence</t>
  </si>
  <si>
    <t>The source statistic does not directly measure the SDG indicator</t>
  </si>
  <si>
    <t>Unplanned housing mapped to full slum definition</t>
  </si>
  <si>
    <t>Unplanned housing is only one possible component</t>
  </si>
  <si>
    <t>Age 16+ denominator not explicit in dashboard definition</t>
  </si>
  <si>
    <t>The population denominator must be approved and labelled</t>
  </si>
  <si>
    <t>All mappings</t>
  </si>
  <si>
    <t>Survey/reference and publication years mixed together</t>
  </si>
  <si>
    <t>Added separate period, publication-year, display-year, calculation and review-action fields</t>
  </si>
  <si>
    <t>Makes extraction and approval rules implementable</t>
  </si>
  <si>
    <t>Table 5.1, Headcount poverty rate (%)—EICV7 (2023/24), p. 79, EICV7 Main Indicators Report 2023/24 (2025)</t>
  </si>
  <si>
    <t>Table 5.1</t>
  </si>
  <si>
    <t>EICV7 Poverty Thematic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</si>
</sst>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_-;\-* #,##0.00_-;_-* &quot;-&quot;??_-;_-@_-"/>
    <numFmt numFmtId="166" formatCode="_-* #,##0.00\ _€_-;\-* #,##0.00\ _€_-;_-* &quot;-&quot;??\ _€_-;_-@_-"/>
  </numFmts>
  <fonts count="9">
    <font>
      <sz val="11"/>
      <color theme="1"/>
      <name val="Calibri"/>
    </font>
    <font>
      <sz val="11"/>
      <color theme="1"/>
      <name val="Calibri"/>
    </font>
    <font>
      <sz val="11"/>
      <color rgb="FF9C0006"/>
      <name val="Calibri"/>
    </font>
    <font>
      <sz val="10"/>
      <name val="Arial"/>
    </font>
    <font>
      <sz val="10"/>
      <color rgb="FF000000"/>
      <name val="Calibri"/>
    </font>
    <font>
      <b/>
      <sz val="11"/>
      <color theme="1"/>
      <name val="Calibri"/>
    </font>
    <font>
      <b/>
      <sz val="11"/>
      <name val="Calibri"/>
    </font>
    <font>
      <sz val="11"/>
      <name val="Calibri"/>
    </font>
    <font>
      <b/>
      <sz val="11"/>
      <color rgb="FFFFFFFF"/>
      <name val="Calibri"/>
    </font>
  </fonts>
  <fills count="9">
    <fill>
      <patternFill patternType="none"/>
    </fill>
    <fill>
      <patternFill patternType="gray125"/>
    </fill>
    <fill>
      <patternFill patternType="solid">
        <fgColor rgb="FFFFC7CE"/>
      </patternFill>
    </fill>
    <fill>
      <patternFill patternType="solid">
        <fgColor theme="5"/>
      </patternFill>
    </fill>
    <fill>
      <patternFill patternType="solid">
        <fgColor theme="0"/>
      </patternFill>
    </fill>
    <fill>
      <patternFill patternType="solid">
        <fgColor rgb="FF1F4E79"/>
      </patternFill>
    </fill>
    <fill>
      <patternFill patternType="solid">
        <fgColor rgb="FF70AD47"/>
      </patternFill>
    </fill>
    <fill>
      <patternFill patternType="solid">
        <fgColor rgb="FF5B9BD5"/>
      </patternFill>
    </fill>
    <fill>
      <patternFill patternType="solid">
        <fgColor rgb="FF17365D"/>
      </patternFill>
    </fill>
  </fills>
  <borders count="1">
    <border>
      <left/>
      <right/>
      <top/>
      <bottom/>
      <diagonal/>
    </border>
  </borders>
  <cellStyleXfs count="10">
    <xf numFmtId="0" fontId="0" fillId="0" borderId="0"/>
    <xf numFmtId="0" fontId="2" fillId="2" borderId="0"/>
    <xf numFmtId="0" fontId="1" fillId="0" borderId="0"/>
    <xf numFmtId="0" fontId="3" fillId="0" borderId="0"/>
    <xf numFmtId="165" fontId="3" fillId="0" borderId="0"/>
    <xf numFmtId="166" fontId="3" fillId="0" borderId="0"/>
    <xf numFmtId="0" fontId="3" fillId="0" borderId="0"/>
    <xf numFmtId="0" fontId="3" fillId="0" borderId="0"/>
    <xf numFmtId="9" fontId="3" fillId="0" borderId="0"/>
    <xf numFmtId="0" fontId="4" fillId="0" borderId="0"/>
  </cellStyleXfs>
  <cellXfs count="16">
    <xf numFmtId="0" fontId="0" fillId="0" borderId="0" xfId="0"/>
    <xf numFmtId="0" fontId="1" fillId="0" borderId="0" xfId="2"/>
    <xf numFmtId="0" fontId="2" fillId="2" borderId="0" xfId="1"/>
    <xf numFmtId="0" fontId="6" fillId="0" borderId="0" xfId="3" applyFont="1"/>
    <xf numFmtId="49" fontId="6" fillId="0" borderId="0" xfId="3" applyNumberFormat="1" applyFont="1"/>
    <xf numFmtId="0" fontId="5" fillId="0" borderId="0" xfId="2" applyFont="1"/>
    <xf numFmtId="0" fontId="8" fillId="5" borderId="0" xfId="0" applyFont="1" applyFill="1"/>
    <xf numFmtId="0" fontId="8" fillId="5" borderId="0" xfId="0" applyFont="1" applyFill="1" applyAlignment="1">
      <alignment horizontal="center" vertical="center" wrapText="1"/>
    </xf>
    <xf numFmtId="0" fontId="0" fillId="0" borderId="0" xfId="0" applyAlignment="1">
      <alignment wrapText="1"/>
    </xf>
    <xf numFmtId="0" fontId="8" fillId="7" borderId="0" xfId="0" applyFont="1" applyFill="1" applyAlignment="1">
      <alignment wrapText="1"/>
    </xf>
    <xf numFmtId="0" fontId="0" fillId="4" borderId="0" xfId="0" applyFill="1" applyAlignment="1">
      <alignment wrapText="1"/>
    </xf>
    <xf numFmtId="0" fontId="0" fillId="3" borderId="0" xfId="0" applyFill="1" applyAlignment="1">
      <alignment wrapText="1"/>
    </xf>
    <xf numFmtId="0" fontId="7" fillId="3" borderId="0" xfId="0" applyFont="1" applyFill="1" applyAlignment="1">
      <alignment wrapText="1"/>
    </xf>
    <xf numFmtId="0" fontId="8" fillId="6" borderId="0" xfId="0" applyFont="1" applyFill="1" applyAlignment="1">
      <alignment wrapText="1"/>
    </xf>
    <xf numFmtId="0" fontId="8" fillId="8" borderId="0" xfId="0" applyFont="1" applyFill="1" applyAlignment="1">
      <alignment wrapText="1"/>
    </xf>
    <xf numFmtId="164" fontId="0" fillId="0" borderId="0" xfId="0" applyNumberFormat="1" applyAlignment="1">
      <alignment wrapText="1"/>
    </xf>
  </cellXfs>
  <cellStyles count="10">
    <cellStyle name="Bad" xfId="1" xr:uid="{00000000-0005-0000-0000-000001000000}"/>
    <cellStyle name="Comma 2" xfId="4" xr:uid="{00000000-0005-0000-0000-000004000000}"/>
    <cellStyle name="Comma 4" xfId="5" xr:uid="{00000000-0005-0000-0000-000005000000}"/>
    <cellStyle name="Normal" xfId="0" builtinId="0"/>
    <cellStyle name="Normal 17" xfId="3" xr:uid="{00000000-0005-0000-0000-000003000000}"/>
    <cellStyle name="Normal 2" xfId="6" xr:uid="{00000000-0005-0000-0000-000006000000}"/>
    <cellStyle name="Normal 2 2" xfId="7" xr:uid="{00000000-0005-0000-0000-000007000000}"/>
    <cellStyle name="Normal 3" xfId="2" xr:uid="{00000000-0005-0000-0000-000002000000}"/>
    <cellStyle name="Normal 4" xfId="9" xr:uid="{00000000-0005-0000-0000-000009000000}"/>
    <cellStyle name="Percent 2" xfId="8" xr:uid="{00000000-0005-0000-0000-000008000000}"/>
  </cellStyles>
  <dxfs count="5">
    <dxf>
      <fill>
        <patternFill>
          <bgColor rgb="FFFFF2CC"/>
        </patternFill>
      </fill>
    </dxf>
    <dxf>
      <fill>
        <patternFill>
          <bgColor rgb="FFD9EAD3"/>
        </patternFill>
      </fill>
    </dxf>
    <dxf>
      <fill>
        <patternFill>
          <bgColor rgb="FFFFF2CC"/>
        </patternFill>
      </fill>
    </dxf>
    <dxf>
      <fill>
        <patternFill>
          <bgColor rgb="FFFCE4D6"/>
        </patternFill>
      </fill>
    </dxf>
    <dxf>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ISRSourceMappingTable" displayName="NISRSourceMappingTable" ref="A1:AG41" totalsRowShown="0">
  <autoFilter ref="A1:AG41" xr:uid="{00000000-0009-0000-0100-000001000000}"/>
  <tableColumns count="33">
    <tableColumn id="1" xr3:uid="{00000000-0010-0000-0000-000001000000}" name="Mapping_ID"/>
    <tableColumn id="2" xr3:uid="{00000000-0010-0000-0000-000002000000}" name="Indicator"/>
    <tableColumn id="3" xr3:uid="{00000000-0010-0000-0000-000003000000}" name="Series"/>
    <tableColumn id="4" xr3:uid="{00000000-0010-0000-0000-000004000000}" name="Series_Code"/>
    <tableColumn id="5" xr3:uid="{00000000-0010-0000-0000-000005000000}" name="Dashboard_Description"/>
    <tableColumn id="6" xr3:uid="{00000000-0010-0000-0000-000006000000}" name="Unit_Code"/>
    <tableColumn id="7" xr3:uid="{00000000-0010-0000-0000-000007000000}" name="Data_Source"/>
    <tableColumn id="8" xr3:uid="{00000000-0010-0000-0000-000008000000}" name="Latest_Year"/>
    <tableColumn id="9" xr3:uid="{00000000-0010-0000-0000-000009000000}" name="Latest_Value"/>
    <tableColumn id="10" xr3:uid="{00000000-0010-0000-0000-00000A000000}" name="Report_Family"/>
    <tableColumn id="11" xr3:uid="{00000000-0010-0000-0000-00000B000000}" name="Report_Name"/>
    <tableColumn id="12" xr3:uid="{00000000-0010-0000-0000-00000C000000}" name="Report_Year"/>
    <tableColumn id="13" xr3:uid="{00000000-0010-0000-0000-00000D000000}" name="File_Type"/>
    <tableColumn id="14" xr3:uid="{00000000-0010-0000-0000-00000E000000}" name="File_Name_or_Link"/>
    <tableColumn id="15" xr3:uid="{00000000-0010-0000-0000-00000F000000}" name="Sheet_or_Page"/>
    <tableColumn id="16" xr3:uid="{00000000-0010-0000-0000-000010000000}" name="Table_No"/>
    <tableColumn id="17" xr3:uid="{00000000-0010-0000-0000-000011000000}" name="Table_Title"/>
    <tableColumn id="18" xr3:uid="{00000000-0010-0000-0000-000012000000}" name="Report_Indicator_Name"/>
    <tableColumn id="19" xr3:uid="{00000000-0010-0000-0000-000013000000}" name="Row_Label"/>
    <tableColumn id="20" xr3:uid="{00000000-0010-0000-0000-000014000000}" name="Column_Label"/>
    <tableColumn id="21" xr3:uid="{00000000-0010-0000-0000-000015000000}" name="Geography"/>
    <tableColumn id="22" xr3:uid="{00000000-0010-0000-0000-000016000000}" name="Disaggregation"/>
    <tableColumn id="23" xr3:uid="{00000000-0010-0000-0000-000017000000}" name="Extraction_Method"/>
    <tableColumn id="24" xr3:uid="{00000000-0010-0000-0000-000018000000}" name="Confidence"/>
    <tableColumn id="25" xr3:uid="{00000000-0010-0000-0000-000019000000}" name="Status"/>
    <tableColumn id="26" xr3:uid="{00000000-0010-0000-0000-00001A000000}" name="Reviewer"/>
    <tableColumn id="27" xr3:uid="{00000000-0010-0000-0000-00001B000000}" name="Notes"/>
    <tableColumn id="28" xr3:uid="{00000000-0010-0000-0000-00001C000000}" name="Mapping_Type"/>
    <tableColumn id="29" xr3:uid="{00000000-0010-0000-0000-00001D000000}" name="Source_or_Survey_Period"/>
    <tableColumn id="30" xr3:uid="{00000000-0010-0000-0000-00001E000000}" name="Publication_Year"/>
    <tableColumn id="31" xr3:uid="{00000000-0010-0000-0000-00001F000000}" name="Dashboard_Display_Year"/>
    <tableColumn id="32" xr3:uid="{00000000-0010-0000-0000-000020000000}" name="Calculation_or_Transformation_Rule"/>
    <tableColumn id="33" xr3:uid="{00000000-0010-0000-0000-000021000000}" name="Required_NISR_Review_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portRegisterTable" displayName="ReportRegisterTable" ref="A1:K7">
  <tableColumns count="11">
    <tableColumn id="1" xr3:uid="{00000000-0010-0000-0100-000001000000}" name="Report_ID"/>
    <tableColumn id="2" xr3:uid="{00000000-0010-0000-0100-000002000000}" name="Report_Family"/>
    <tableColumn id="3" xr3:uid="{00000000-0010-0000-0100-000003000000}" name="Report_Name"/>
    <tableColumn id="4" xr3:uid="{00000000-0010-0000-0100-000004000000}" name="Report_Year"/>
    <tableColumn id="5" xr3:uid="{00000000-0010-0000-0100-000005000000}" name="File_Type"/>
    <tableColumn id="6" xr3:uid="{00000000-0010-0000-0100-000006000000}" name="File_Name_or_Link"/>
    <tableColumn id="7" xr3:uid="{00000000-0010-0000-0100-000007000000}" name="Publication_Date"/>
    <tableColumn id="8" xr3:uid="{00000000-0010-0000-0100-000008000000}" name="Frequency"/>
    <tableColumn id="9" xr3:uid="{00000000-0010-0000-0100-000009000000}" name="Status"/>
    <tableColumn id="10" xr3:uid="{00000000-0010-0000-0100-00000A000000}" name="Owner"/>
    <tableColumn id="11" xr3:uid="{00000000-0010-0000-0100-00000B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osedUpdatesTable" displayName="ProposedUpdatesTable" ref="A1:N2">
  <tableColumns count="14">
    <tableColumn id="1" xr3:uid="{00000000-0010-0000-0200-000001000000}" name="Update_ID"/>
    <tableColumn id="2" xr3:uid="{00000000-0010-0000-0200-000002000000}" name="Mapping_ID"/>
    <tableColumn id="3" xr3:uid="{00000000-0010-0000-0200-000003000000}" name="Indicator"/>
    <tableColumn id="4" xr3:uid="{00000000-0010-0000-0200-000004000000}" name="Series_Code"/>
    <tableColumn id="5" xr3:uid="{00000000-0010-0000-0200-000005000000}" name="Year"/>
    <tableColumn id="6" xr3:uid="{00000000-0010-0000-0200-000006000000}" name="Old_Value"/>
    <tableColumn id="7" xr3:uid="{00000000-0010-0000-0200-000007000000}" name="New_Value"/>
    <tableColumn id="8" xr3:uid="{00000000-0010-0000-0200-000008000000}" name="Difference"/>
    <tableColumn id="9" xr3:uid="{00000000-0010-0000-0200-000009000000}" name="Source_Report"/>
    <tableColumn id="10" xr3:uid="{00000000-0010-0000-0200-00000A000000}" name="Table_or_Sheet"/>
    <tableColumn id="11" xr3:uid="{00000000-0010-0000-0200-00000B000000}" name="Evidence_Page"/>
    <tableColumn id="12" xr3:uid="{00000000-0010-0000-0200-00000C000000}" name="Extraction_Date"/>
    <tableColumn id="13" xr3:uid="{00000000-0010-0000-0200-00000D000000}" name="Status"/>
    <tableColumn id="14" xr3:uid="{00000000-0010-0000-0200-00000E000000}" name="Reviewer_Comm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utomationGuideTable" displayName="AutomationGuideTable" ref="A1:B7">
  <tableColumns count="2">
    <tableColumn id="1" xr3:uid="{00000000-0010-0000-0300-000001000000}" name="Item"/>
    <tableColumn id="2" xr3:uid="{00000000-0010-0000-0300-000002000000}"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rrectionLogTable" displayName="CorrectionLogTable" ref="A1:D14" totalsRowShown="0">
  <tableColumns count="4">
    <tableColumn id="1" xr3:uid="{00000000-0010-0000-0400-000001000000}" name="Mapping_ID"/>
    <tableColumn id="2" xr3:uid="{00000000-0010-0000-0400-000002000000}" name="Issue corrected"/>
    <tableColumn id="3" xr3:uid="{00000000-0010-0000-0400-000003000000}" name="Correction made"/>
    <tableColumn id="4" xr3:uid="{00000000-0010-0000-0400-000004000000}" name="Why it matter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28"/>
  <sheetViews>
    <sheetView topLeftCell="AF1" workbookViewId="0">
      <selection activeCell="AU4" sqref="AU4"/>
    </sheetView>
  </sheetViews>
  <sheetFormatPr defaultColWidth="9.33203125" defaultRowHeight="14.4"/>
  <cols>
    <col min="1" max="1" width="10.6640625" customWidth="1"/>
    <col min="2" max="2" width="82.88671875" customWidth="1"/>
    <col min="3" max="3" width="15.6640625" customWidth="1"/>
    <col min="4" max="10" width="10.6640625" customWidth="1"/>
    <col min="11" max="11" width="24.88671875" customWidth="1"/>
    <col min="12" max="12" width="18.88671875" customWidth="1"/>
    <col min="13" max="13" width="18.33203125" customWidth="1"/>
    <col min="14" max="14" width="6.6640625" customWidth="1"/>
    <col min="15" max="15" width="93" customWidth="1"/>
    <col min="16" max="16" width="255" customWidth="1"/>
    <col min="17" max="17" width="8.33203125" customWidth="1"/>
    <col min="18" max="18" width="12.109375" customWidth="1"/>
    <col min="19" max="19" width="9.44140625" customWidth="1"/>
    <col min="20" max="20" width="11.77734375" customWidth="1"/>
    <col min="21" max="21" width="6.88671875" customWidth="1"/>
    <col min="22" max="32" width="5" customWidth="1"/>
    <col min="33" max="33" width="9.5546875" customWidth="1"/>
    <col min="34" max="34" width="10.5546875" customWidth="1"/>
    <col min="35" max="35" width="9.5546875" customWidth="1"/>
    <col min="36" max="36" width="8.5546875" customWidth="1"/>
    <col min="37" max="37" width="12.109375" customWidth="1"/>
    <col min="38" max="38" width="9.5546875" customWidth="1"/>
    <col min="39" max="39" width="12.109375" customWidth="1"/>
    <col min="40" max="41" width="9.5546875" customWidth="1"/>
    <col min="42" max="42" width="8.5546875" customWidth="1"/>
    <col min="43" max="43" width="8" customWidth="1"/>
    <col min="44" max="44" width="12.109375" customWidth="1"/>
    <col min="45" max="45" width="8" customWidth="1"/>
    <col min="46" max="46" width="5" customWidth="1"/>
    <col min="47" max="47" width="65" customWidth="1"/>
  </cols>
  <sheetData>
    <row r="1" spans="1:47" ht="15.9"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v>2000</v>
      </c>
      <c r="W1" s="9">
        <v>2001</v>
      </c>
      <c r="X1" s="9">
        <v>2002</v>
      </c>
      <c r="Y1" s="9">
        <v>2003</v>
      </c>
      <c r="Z1" s="9">
        <v>2004</v>
      </c>
      <c r="AA1" s="9">
        <v>2005</v>
      </c>
      <c r="AB1" s="9">
        <v>2006</v>
      </c>
      <c r="AC1" s="9">
        <v>2007</v>
      </c>
      <c r="AD1" s="9">
        <v>2008</v>
      </c>
      <c r="AE1" s="9">
        <v>2009</v>
      </c>
      <c r="AF1" s="9">
        <v>2010</v>
      </c>
      <c r="AG1" s="9">
        <v>2011</v>
      </c>
      <c r="AH1" s="9">
        <v>2012</v>
      </c>
      <c r="AI1" s="9">
        <v>2013</v>
      </c>
      <c r="AJ1" s="9">
        <v>2014</v>
      </c>
      <c r="AK1" s="9">
        <v>2015</v>
      </c>
      <c r="AL1" s="9">
        <v>2016</v>
      </c>
      <c r="AM1" s="9">
        <v>2017</v>
      </c>
      <c r="AN1" s="9">
        <v>2018</v>
      </c>
      <c r="AO1" s="9">
        <v>2019</v>
      </c>
      <c r="AP1" s="9">
        <v>2020</v>
      </c>
      <c r="AQ1" s="9">
        <v>2021</v>
      </c>
      <c r="AR1" s="9">
        <v>2022</v>
      </c>
      <c r="AS1" s="9">
        <v>2023</v>
      </c>
      <c r="AT1" s="9">
        <v>2024</v>
      </c>
      <c r="AU1" s="9" t="s">
        <v>21</v>
      </c>
    </row>
    <row r="2" spans="1:47" ht="14.4" hidden="1" customHeight="1">
      <c r="A2" s="8" t="s">
        <v>22</v>
      </c>
      <c r="B2" s="8" t="s">
        <v>23</v>
      </c>
      <c r="C2" s="8" t="s">
        <v>24</v>
      </c>
      <c r="D2" s="8" t="s">
        <v>25</v>
      </c>
      <c r="E2" s="8" t="s">
        <v>26</v>
      </c>
      <c r="F2" s="8"/>
      <c r="G2" s="8" t="s">
        <v>25</v>
      </c>
      <c r="H2" s="8" t="s">
        <v>27</v>
      </c>
      <c r="I2" s="8"/>
      <c r="J2" s="8"/>
      <c r="K2" s="8"/>
      <c r="L2" s="8" t="s">
        <v>25</v>
      </c>
      <c r="M2" s="8"/>
      <c r="N2" s="8" t="s">
        <v>25</v>
      </c>
      <c r="O2" s="8" t="s">
        <v>28</v>
      </c>
      <c r="P2" s="8" t="s">
        <v>29</v>
      </c>
      <c r="Q2" s="8"/>
      <c r="R2" s="8" t="s">
        <v>25</v>
      </c>
      <c r="S2" s="8"/>
      <c r="T2" s="8" t="s">
        <v>25</v>
      </c>
      <c r="U2" s="8"/>
      <c r="V2" s="8">
        <v>77.2</v>
      </c>
      <c r="W2" s="8"/>
      <c r="X2" s="8"/>
      <c r="Y2" s="8"/>
      <c r="Z2" s="8"/>
      <c r="AA2" s="8">
        <v>68.3</v>
      </c>
      <c r="AB2" s="8"/>
      <c r="AC2" s="8"/>
      <c r="AD2" s="8"/>
      <c r="AE2" s="8"/>
      <c r="AF2" s="8"/>
      <c r="AG2" s="8">
        <v>62.3</v>
      </c>
      <c r="AH2" s="8"/>
      <c r="AI2" s="8"/>
      <c r="AJ2" s="8">
        <v>56.8</v>
      </c>
      <c r="AK2" s="8"/>
      <c r="AL2" s="8"/>
      <c r="AM2" s="15">
        <v>52</v>
      </c>
      <c r="AN2" s="8"/>
      <c r="AO2" s="8"/>
      <c r="AP2" s="8"/>
      <c r="AQ2" s="8"/>
      <c r="AR2" s="8"/>
      <c r="AS2" s="8"/>
      <c r="AT2" s="8"/>
      <c r="AU2" s="8" t="s">
        <v>30</v>
      </c>
    </row>
    <row r="3" spans="1:47" ht="26.4" customHeight="1">
      <c r="A3" s="8" t="s">
        <v>31</v>
      </c>
      <c r="B3" s="8" t="s">
        <v>32</v>
      </c>
      <c r="C3" s="8" t="s">
        <v>33</v>
      </c>
      <c r="D3" s="8" t="s">
        <v>25</v>
      </c>
      <c r="E3" s="8" t="s">
        <v>26</v>
      </c>
      <c r="F3" s="8"/>
      <c r="G3" s="8" t="s">
        <v>25</v>
      </c>
      <c r="H3" s="8" t="s">
        <v>27</v>
      </c>
      <c r="I3" s="8"/>
      <c r="J3" s="8"/>
      <c r="K3" s="8"/>
      <c r="L3" s="8" t="s">
        <v>25</v>
      </c>
      <c r="M3" s="8"/>
      <c r="N3" s="8" t="s">
        <v>25</v>
      </c>
      <c r="O3" s="8" t="s">
        <v>34</v>
      </c>
      <c r="P3" s="8" t="s">
        <v>35</v>
      </c>
      <c r="Q3" s="8"/>
      <c r="R3" s="8" t="s">
        <v>25</v>
      </c>
      <c r="S3" s="8"/>
      <c r="T3" s="8" t="s">
        <v>25</v>
      </c>
      <c r="U3" s="8"/>
      <c r="V3" s="8">
        <v>58.9</v>
      </c>
      <c r="W3" s="8"/>
      <c r="X3" s="8"/>
      <c r="Y3" s="8"/>
      <c r="Z3" s="8"/>
      <c r="AA3" s="8">
        <v>56.7</v>
      </c>
      <c r="AB3" s="8"/>
      <c r="AC3" s="8"/>
      <c r="AD3" s="8"/>
      <c r="AE3" s="8"/>
      <c r="AF3" s="8"/>
      <c r="AG3" s="8">
        <v>44.9</v>
      </c>
      <c r="AH3" s="8"/>
      <c r="AI3" s="8"/>
      <c r="AJ3" s="8">
        <v>39.1</v>
      </c>
      <c r="AK3" s="8"/>
      <c r="AL3" s="8"/>
      <c r="AM3" s="8">
        <v>38.200000000000003</v>
      </c>
      <c r="AN3" s="8"/>
      <c r="AO3" s="8"/>
      <c r="AP3" s="8"/>
      <c r="AQ3" s="8"/>
      <c r="AR3" s="8"/>
      <c r="AS3" s="8"/>
      <c r="AT3" s="8">
        <v>27.4</v>
      </c>
      <c r="AU3" s="8" t="s">
        <v>1276</v>
      </c>
    </row>
    <row r="4" spans="1:47" ht="26.4" customHeight="1">
      <c r="A4" s="8" t="s">
        <v>36</v>
      </c>
      <c r="B4" s="8" t="s">
        <v>37</v>
      </c>
      <c r="C4" s="8" t="s">
        <v>38</v>
      </c>
      <c r="D4" s="8" t="s">
        <v>25</v>
      </c>
      <c r="E4" s="8" t="s">
        <v>39</v>
      </c>
      <c r="F4" s="8"/>
      <c r="G4" s="8" t="s">
        <v>25</v>
      </c>
      <c r="H4" s="8" t="s">
        <v>27</v>
      </c>
      <c r="I4" s="8"/>
      <c r="J4" s="8"/>
      <c r="K4" s="8"/>
      <c r="L4" s="8" t="s">
        <v>25</v>
      </c>
      <c r="M4" s="8"/>
      <c r="N4" s="8" t="s">
        <v>25</v>
      </c>
      <c r="O4" s="8" t="s">
        <v>40</v>
      </c>
      <c r="P4" s="8" t="s">
        <v>41</v>
      </c>
      <c r="Q4" s="8"/>
      <c r="R4" s="8" t="s">
        <v>25</v>
      </c>
      <c r="S4" s="8"/>
      <c r="T4" s="8" t="s">
        <v>25</v>
      </c>
      <c r="U4" s="8"/>
      <c r="V4" s="8"/>
      <c r="W4" s="8"/>
      <c r="X4" s="8"/>
      <c r="Y4" s="8"/>
      <c r="Z4" s="8"/>
      <c r="AA4" s="15">
        <v>0.443</v>
      </c>
      <c r="AB4" s="8"/>
      <c r="AC4" s="8"/>
      <c r="AD4" s="8"/>
      <c r="AE4" s="8"/>
      <c r="AF4" s="15">
        <v>0.35</v>
      </c>
      <c r="AG4" s="15">
        <v>0.24</v>
      </c>
      <c r="AH4" s="15">
        <v>0.16700000000000001</v>
      </c>
      <c r="AI4" s="8"/>
      <c r="AJ4" s="15">
        <v>0.17</v>
      </c>
      <c r="AK4" s="8"/>
      <c r="AL4" s="8"/>
      <c r="AM4" s="15">
        <v>0.15</v>
      </c>
      <c r="AN4" s="8"/>
      <c r="AO4" s="8"/>
      <c r="AP4" s="8"/>
      <c r="AQ4" s="8"/>
      <c r="AR4" s="15">
        <v>0.129</v>
      </c>
      <c r="AS4" s="8"/>
      <c r="AT4" s="15">
        <v>0.13600000000000001</v>
      </c>
      <c r="AU4" s="8" t="s">
        <v>42</v>
      </c>
    </row>
    <row r="5" spans="1:47" ht="26.4" hidden="1" customHeight="1">
      <c r="A5" s="8" t="s">
        <v>43</v>
      </c>
      <c r="B5" s="8" t="s">
        <v>44</v>
      </c>
      <c r="C5" s="8" t="s">
        <v>45</v>
      </c>
      <c r="D5" s="8" t="s">
        <v>25</v>
      </c>
      <c r="E5" s="8" t="s">
        <v>26</v>
      </c>
      <c r="F5" s="8"/>
      <c r="G5" s="8" t="s">
        <v>25</v>
      </c>
      <c r="H5" s="8" t="s">
        <v>27</v>
      </c>
      <c r="I5" s="8"/>
      <c r="J5" s="8"/>
      <c r="K5" s="8"/>
      <c r="L5" s="8" t="s">
        <v>25</v>
      </c>
      <c r="M5" s="8"/>
      <c r="N5" s="8" t="s">
        <v>25</v>
      </c>
      <c r="O5" s="8" t="s">
        <v>46</v>
      </c>
      <c r="P5" s="8" t="s">
        <v>47</v>
      </c>
      <c r="Q5" s="8"/>
      <c r="R5" s="8" t="s">
        <v>25</v>
      </c>
      <c r="S5" s="8"/>
      <c r="T5" s="8" t="s">
        <v>25</v>
      </c>
      <c r="U5" s="8"/>
      <c r="V5" s="8"/>
      <c r="W5" s="8"/>
      <c r="X5" s="8"/>
      <c r="Y5" s="8"/>
      <c r="Z5" s="8"/>
      <c r="AA5" s="8"/>
      <c r="AB5" s="8"/>
      <c r="AC5" s="8"/>
      <c r="AD5" s="8"/>
      <c r="AE5" s="8"/>
      <c r="AF5" s="8"/>
      <c r="AG5" s="8"/>
      <c r="AH5" s="8"/>
      <c r="AI5" s="8"/>
      <c r="AJ5" s="8"/>
      <c r="AK5" s="8"/>
      <c r="AL5" s="8"/>
      <c r="AM5" s="8">
        <v>6.5</v>
      </c>
      <c r="AN5" s="8">
        <v>6.5</v>
      </c>
      <c r="AO5" s="8"/>
      <c r="AP5" s="8"/>
      <c r="AQ5" s="8"/>
      <c r="AR5" s="15">
        <v>11</v>
      </c>
      <c r="AS5" s="8"/>
      <c r="AT5" s="8"/>
      <c r="AU5" s="8" t="s">
        <v>48</v>
      </c>
    </row>
    <row r="6" spans="1:47" ht="14.4" hidden="1" customHeight="1">
      <c r="A6" s="8" t="s">
        <v>49</v>
      </c>
      <c r="B6" s="8" t="s">
        <v>50</v>
      </c>
      <c r="C6" s="8" t="s">
        <v>51</v>
      </c>
      <c r="D6" s="8" t="s">
        <v>25</v>
      </c>
      <c r="E6" s="8" t="s">
        <v>26</v>
      </c>
      <c r="F6" s="8"/>
      <c r="G6" s="8" t="s">
        <v>25</v>
      </c>
      <c r="H6" s="8" t="s">
        <v>27</v>
      </c>
      <c r="I6" s="8"/>
      <c r="J6" s="8"/>
      <c r="K6" s="8"/>
      <c r="L6" s="8" t="s">
        <v>25</v>
      </c>
      <c r="M6" s="8"/>
      <c r="N6" s="8" t="s">
        <v>25</v>
      </c>
      <c r="O6" s="8" t="s">
        <v>52</v>
      </c>
      <c r="P6" s="8" t="s">
        <v>50</v>
      </c>
      <c r="Q6" s="8"/>
      <c r="R6" s="8" t="s">
        <v>25</v>
      </c>
      <c r="S6" s="8"/>
      <c r="T6" s="8" t="s">
        <v>25</v>
      </c>
      <c r="U6" s="8"/>
      <c r="V6" s="8"/>
      <c r="W6" s="8"/>
      <c r="X6" s="8"/>
      <c r="Y6" s="8"/>
      <c r="Z6" s="8"/>
      <c r="AA6" s="8"/>
      <c r="AB6" s="8"/>
      <c r="AC6" s="8"/>
      <c r="AD6" s="8"/>
      <c r="AE6" s="8"/>
      <c r="AF6" s="8"/>
      <c r="AG6" s="8"/>
      <c r="AH6" s="8"/>
      <c r="AI6" s="8"/>
      <c r="AJ6" s="8"/>
      <c r="AK6" s="8"/>
      <c r="AL6" s="8"/>
      <c r="AM6" s="8"/>
      <c r="AN6" s="8"/>
      <c r="AO6" s="8">
        <v>38.200000000000003</v>
      </c>
      <c r="AP6" s="8"/>
      <c r="AQ6" s="8"/>
      <c r="AR6" s="8"/>
      <c r="AS6" s="8"/>
      <c r="AT6" s="8"/>
      <c r="AU6" s="8" t="s">
        <v>53</v>
      </c>
    </row>
    <row r="7" spans="1:47" ht="14.4" hidden="1" customHeight="1">
      <c r="A7" s="8" t="s">
        <v>54</v>
      </c>
      <c r="B7" s="8" t="s">
        <v>55</v>
      </c>
      <c r="C7" s="8" t="s">
        <v>56</v>
      </c>
      <c r="D7" s="8" t="s">
        <v>25</v>
      </c>
      <c r="E7" s="8" t="s">
        <v>57</v>
      </c>
      <c r="F7" s="8"/>
      <c r="G7" s="8" t="s">
        <v>25</v>
      </c>
      <c r="H7" s="8" t="s">
        <v>27</v>
      </c>
      <c r="I7" s="8"/>
      <c r="J7" s="8"/>
      <c r="K7" s="8"/>
      <c r="L7" s="8" t="s">
        <v>25</v>
      </c>
      <c r="M7" s="8"/>
      <c r="N7" s="8" t="s">
        <v>25</v>
      </c>
      <c r="O7" s="8" t="s">
        <v>58</v>
      </c>
      <c r="P7" s="8" t="s">
        <v>59</v>
      </c>
      <c r="Q7" s="8"/>
      <c r="R7" s="8" t="s">
        <v>25</v>
      </c>
      <c r="S7" s="8"/>
      <c r="T7" s="8" t="s">
        <v>25</v>
      </c>
      <c r="U7" s="8"/>
      <c r="V7" s="8"/>
      <c r="W7" s="8"/>
      <c r="X7" s="8"/>
      <c r="Y7" s="8"/>
      <c r="Z7" s="8"/>
      <c r="AA7" s="8"/>
      <c r="AB7" s="8"/>
      <c r="AC7" s="8"/>
      <c r="AD7" s="8"/>
      <c r="AE7" s="8"/>
      <c r="AF7" s="8"/>
      <c r="AG7" s="8"/>
      <c r="AH7" s="8"/>
      <c r="AI7" s="8"/>
      <c r="AJ7" s="8"/>
      <c r="AK7" s="8"/>
      <c r="AL7" s="8"/>
      <c r="AM7" s="8"/>
      <c r="AN7" s="8"/>
      <c r="AO7" s="8"/>
      <c r="AP7" s="8"/>
      <c r="AQ7" s="8"/>
      <c r="AR7" s="8"/>
      <c r="AS7" s="8">
        <v>4218003</v>
      </c>
      <c r="AT7" s="8"/>
      <c r="AU7" s="8" t="s">
        <v>60</v>
      </c>
    </row>
    <row r="8" spans="1:47" ht="26.4" hidden="1" customHeight="1">
      <c r="A8" s="8" t="s">
        <v>61</v>
      </c>
      <c r="B8" s="8" t="s">
        <v>62</v>
      </c>
      <c r="C8" s="8" t="s">
        <v>63</v>
      </c>
      <c r="D8" s="8" t="s">
        <v>25</v>
      </c>
      <c r="E8" s="8" t="s">
        <v>64</v>
      </c>
      <c r="F8" s="8"/>
      <c r="G8" s="8" t="s">
        <v>25</v>
      </c>
      <c r="H8" s="8" t="s">
        <v>27</v>
      </c>
      <c r="I8" s="8"/>
      <c r="J8" s="8"/>
      <c r="K8" s="8"/>
      <c r="L8" s="8" t="s">
        <v>25</v>
      </c>
      <c r="M8" s="8"/>
      <c r="N8" s="8" t="s">
        <v>25</v>
      </c>
      <c r="O8" s="8" t="s">
        <v>65</v>
      </c>
      <c r="P8" s="8" t="s">
        <v>66</v>
      </c>
      <c r="Q8" s="8"/>
      <c r="R8" s="8" t="s">
        <v>25</v>
      </c>
      <c r="S8" s="8"/>
      <c r="T8" s="8" t="s">
        <v>25</v>
      </c>
      <c r="U8" s="8"/>
      <c r="V8" s="8"/>
      <c r="W8" s="8"/>
      <c r="X8" s="8"/>
      <c r="Y8" s="8"/>
      <c r="Z8" s="8"/>
      <c r="AA8" s="8"/>
      <c r="AB8" s="8"/>
      <c r="AC8" s="8"/>
      <c r="AD8" s="8"/>
      <c r="AE8" s="8"/>
      <c r="AF8" s="8"/>
      <c r="AG8" s="8"/>
      <c r="AH8" s="8"/>
      <c r="AI8" s="8"/>
      <c r="AJ8" s="8"/>
      <c r="AK8" s="8"/>
      <c r="AL8" s="8">
        <v>1.59</v>
      </c>
      <c r="AM8" s="8">
        <v>0.69</v>
      </c>
      <c r="AN8" s="8">
        <v>2.1</v>
      </c>
      <c r="AO8" s="8">
        <v>1.08</v>
      </c>
      <c r="AP8" s="8">
        <v>2.35</v>
      </c>
      <c r="AQ8" s="8">
        <v>0.9</v>
      </c>
      <c r="AR8" s="8">
        <v>1.55</v>
      </c>
      <c r="AS8" s="8">
        <v>1.8</v>
      </c>
      <c r="AT8" s="8">
        <v>1.38</v>
      </c>
      <c r="AU8" s="8" t="s">
        <v>67</v>
      </c>
    </row>
    <row r="9" spans="1:47" ht="26.4" hidden="1" customHeight="1">
      <c r="A9" s="8" t="s">
        <v>68</v>
      </c>
      <c r="B9" s="8" t="s">
        <v>69</v>
      </c>
      <c r="C9" s="8" t="s">
        <v>70</v>
      </c>
      <c r="D9" s="8" t="s">
        <v>25</v>
      </c>
      <c r="E9" s="8" t="s">
        <v>57</v>
      </c>
      <c r="F9" s="8"/>
      <c r="G9" s="8" t="s">
        <v>25</v>
      </c>
      <c r="H9" s="8" t="s">
        <v>27</v>
      </c>
      <c r="I9" s="8"/>
      <c r="J9" s="8"/>
      <c r="K9" s="8"/>
      <c r="L9" s="8" t="s">
        <v>25</v>
      </c>
      <c r="M9" s="8"/>
      <c r="N9" s="8" t="s">
        <v>25</v>
      </c>
      <c r="O9" s="8" t="s">
        <v>65</v>
      </c>
      <c r="P9" s="8" t="s">
        <v>71</v>
      </c>
      <c r="Q9" s="8"/>
      <c r="R9" s="8" t="s">
        <v>25</v>
      </c>
      <c r="S9" s="8"/>
      <c r="T9" s="8" t="s">
        <v>25</v>
      </c>
      <c r="U9" s="8"/>
      <c r="V9" s="8"/>
      <c r="W9" s="8"/>
      <c r="X9" s="8"/>
      <c r="Y9" s="8"/>
      <c r="Z9" s="8"/>
      <c r="AA9" s="8"/>
      <c r="AB9" s="8"/>
      <c r="AC9" s="8"/>
      <c r="AD9" s="8"/>
      <c r="AE9" s="8"/>
      <c r="AF9" s="8"/>
      <c r="AG9" s="8"/>
      <c r="AH9" s="8"/>
      <c r="AI9" s="8"/>
      <c r="AJ9" s="8"/>
      <c r="AK9" s="8"/>
      <c r="AL9" s="8"/>
      <c r="AM9" s="8"/>
      <c r="AN9" s="8">
        <v>15910</v>
      </c>
      <c r="AO9" s="8">
        <v>5691</v>
      </c>
      <c r="AP9" s="8">
        <v>8098</v>
      </c>
      <c r="AQ9" s="8">
        <v>4808</v>
      </c>
      <c r="AR9" s="8">
        <v>4156</v>
      </c>
      <c r="AS9" s="8">
        <v>9955</v>
      </c>
      <c r="AT9" s="8">
        <v>2005</v>
      </c>
      <c r="AU9" s="8" t="s">
        <v>67</v>
      </c>
    </row>
    <row r="10" spans="1:47" ht="26.4" hidden="1" customHeight="1">
      <c r="A10" s="8" t="s">
        <v>72</v>
      </c>
      <c r="B10" s="8" t="s">
        <v>73</v>
      </c>
      <c r="C10" s="8" t="s">
        <v>74</v>
      </c>
      <c r="D10" s="8" t="s">
        <v>25</v>
      </c>
      <c r="E10" s="8" t="s">
        <v>26</v>
      </c>
      <c r="F10" s="8"/>
      <c r="G10" s="8" t="s">
        <v>25</v>
      </c>
      <c r="H10" s="8" t="s">
        <v>27</v>
      </c>
      <c r="I10" s="8"/>
      <c r="J10" s="8"/>
      <c r="K10" s="8"/>
      <c r="L10" s="8" t="s">
        <v>25</v>
      </c>
      <c r="M10" s="8"/>
      <c r="N10" s="8" t="s">
        <v>25</v>
      </c>
      <c r="O10" s="8" t="s">
        <v>75</v>
      </c>
      <c r="P10" s="8" t="s">
        <v>76</v>
      </c>
      <c r="Q10" s="8"/>
      <c r="R10" s="8" t="s">
        <v>25</v>
      </c>
      <c r="S10" s="8"/>
      <c r="T10" s="8" t="s">
        <v>25</v>
      </c>
      <c r="U10" s="8"/>
      <c r="V10" s="8"/>
      <c r="W10" s="8"/>
      <c r="X10" s="8"/>
      <c r="Y10" s="8"/>
      <c r="Z10" s="8"/>
      <c r="AA10" s="8"/>
      <c r="AB10" s="8"/>
      <c r="AC10" s="8"/>
      <c r="AD10" s="8"/>
      <c r="AE10" s="8"/>
      <c r="AF10" s="8"/>
      <c r="AG10" s="8"/>
      <c r="AH10" s="8"/>
      <c r="AI10" s="8"/>
      <c r="AJ10" s="8"/>
      <c r="AK10" s="8"/>
      <c r="AL10" s="8"/>
      <c r="AM10" s="8">
        <v>77.3</v>
      </c>
      <c r="AN10" s="8">
        <v>96.7</v>
      </c>
      <c r="AO10" s="8">
        <v>100</v>
      </c>
      <c r="AP10" s="8">
        <v>100</v>
      </c>
      <c r="AQ10" s="8">
        <v>100</v>
      </c>
      <c r="AR10" s="8">
        <v>100</v>
      </c>
      <c r="AS10" s="8">
        <v>100</v>
      </c>
      <c r="AT10" s="8"/>
      <c r="AU10" s="8" t="s">
        <v>77</v>
      </c>
    </row>
    <row r="11" spans="1:47" ht="26.4" hidden="1" customHeight="1">
      <c r="A11" s="8" t="s">
        <v>78</v>
      </c>
      <c r="B11" s="8" t="s">
        <v>79</v>
      </c>
      <c r="C11" s="8" t="s">
        <v>80</v>
      </c>
      <c r="D11" s="8" t="s">
        <v>25</v>
      </c>
      <c r="E11" s="8" t="s">
        <v>57</v>
      </c>
      <c r="F11" s="8"/>
      <c r="G11" s="8" t="s">
        <v>25</v>
      </c>
      <c r="H11" s="8" t="s">
        <v>27</v>
      </c>
      <c r="I11" s="8"/>
      <c r="J11" s="8"/>
      <c r="K11" s="8"/>
      <c r="L11" s="8" t="s">
        <v>25</v>
      </c>
      <c r="M11" s="8"/>
      <c r="N11" s="8" t="s">
        <v>25</v>
      </c>
      <c r="O11" s="8" t="s">
        <v>81</v>
      </c>
      <c r="P11" s="8" t="s">
        <v>82</v>
      </c>
      <c r="Q11" s="8"/>
      <c r="R11" s="8" t="s">
        <v>25</v>
      </c>
      <c r="S11" s="8"/>
      <c r="T11" s="8" t="s">
        <v>25</v>
      </c>
      <c r="U11" s="8"/>
      <c r="V11" s="8"/>
      <c r="W11" s="8"/>
      <c r="X11" s="8"/>
      <c r="Y11" s="8"/>
      <c r="Z11" s="8"/>
      <c r="AA11" s="8"/>
      <c r="AB11" s="8"/>
      <c r="AC11" s="8"/>
      <c r="AD11" s="8"/>
      <c r="AE11" s="8"/>
      <c r="AF11" s="8"/>
      <c r="AG11" s="8"/>
      <c r="AH11" s="8"/>
      <c r="AI11" s="8"/>
      <c r="AJ11" s="8"/>
      <c r="AK11" s="8">
        <v>204024372542</v>
      </c>
      <c r="AL11" s="8"/>
      <c r="AM11" s="8">
        <v>197351473973</v>
      </c>
      <c r="AN11" s="8"/>
      <c r="AO11" s="8"/>
      <c r="AP11" s="8"/>
      <c r="AQ11" s="8"/>
      <c r="AR11" s="8">
        <v>279077734548</v>
      </c>
      <c r="AS11" s="8"/>
      <c r="AT11" s="8"/>
      <c r="AU11" s="8" t="s">
        <v>83</v>
      </c>
    </row>
    <row r="12" spans="1:47" ht="26.4" hidden="1" customHeight="1">
      <c r="A12" s="8" t="s">
        <v>84</v>
      </c>
      <c r="B12" s="8" t="s">
        <v>85</v>
      </c>
      <c r="C12" s="8" t="s">
        <v>86</v>
      </c>
      <c r="D12" s="8" t="s">
        <v>25</v>
      </c>
      <c r="E12" s="8" t="s">
        <v>87</v>
      </c>
      <c r="F12" s="8"/>
      <c r="G12" s="8" t="s">
        <v>25</v>
      </c>
      <c r="H12" s="8" t="s">
        <v>27</v>
      </c>
      <c r="I12" s="8"/>
      <c r="J12" s="8"/>
      <c r="K12" s="8"/>
      <c r="L12" s="8" t="s">
        <v>25</v>
      </c>
      <c r="M12" s="8"/>
      <c r="N12" s="8" t="s">
        <v>25</v>
      </c>
      <c r="O12" s="8" t="s">
        <v>81</v>
      </c>
      <c r="P12" s="8" t="s">
        <v>88</v>
      </c>
      <c r="Q12" s="8"/>
      <c r="R12" s="8" t="s">
        <v>25</v>
      </c>
      <c r="S12" s="8"/>
      <c r="T12" s="8" t="s">
        <v>25</v>
      </c>
      <c r="U12" s="8"/>
      <c r="V12" s="8"/>
      <c r="W12" s="8"/>
      <c r="X12" s="8"/>
      <c r="Y12" s="8"/>
      <c r="Z12" s="8"/>
      <c r="AA12" s="8"/>
      <c r="AB12" s="8"/>
      <c r="AC12" s="8"/>
      <c r="AD12" s="8"/>
      <c r="AE12" s="8"/>
      <c r="AF12" s="8"/>
      <c r="AG12" s="8"/>
      <c r="AH12" s="8"/>
      <c r="AI12" s="8"/>
      <c r="AJ12" s="8"/>
      <c r="AK12" s="15">
        <v>103794273.852778</v>
      </c>
      <c r="AL12" s="8"/>
      <c r="AM12" s="15">
        <v>109465948.6682692</v>
      </c>
      <c r="AN12" s="8"/>
      <c r="AO12" s="8"/>
      <c r="AP12" s="8"/>
      <c r="AQ12" s="8"/>
      <c r="AR12" s="8"/>
      <c r="AS12" s="8"/>
      <c r="AT12" s="8"/>
      <c r="AU12" s="8" t="s">
        <v>83</v>
      </c>
    </row>
    <row r="13" spans="1:47" ht="26.4" customHeight="1">
      <c r="A13" s="8" t="s">
        <v>89</v>
      </c>
      <c r="B13" s="8" t="s">
        <v>90</v>
      </c>
      <c r="C13" s="8" t="s">
        <v>91</v>
      </c>
      <c r="D13" s="8" t="s">
        <v>25</v>
      </c>
      <c r="E13" s="8" t="s">
        <v>26</v>
      </c>
      <c r="F13" s="8"/>
      <c r="G13" s="8" t="s">
        <v>25</v>
      </c>
      <c r="H13" s="8" t="s">
        <v>27</v>
      </c>
      <c r="I13" s="8"/>
      <c r="J13" s="8"/>
      <c r="K13" s="8"/>
      <c r="L13" s="8" t="s">
        <v>25</v>
      </c>
      <c r="M13" s="8"/>
      <c r="N13" s="8" t="s">
        <v>25</v>
      </c>
      <c r="O13" s="8" t="s">
        <v>92</v>
      </c>
      <c r="P13" s="8" t="s">
        <v>93</v>
      </c>
      <c r="Q13" s="8"/>
      <c r="R13" s="8" t="s">
        <v>25</v>
      </c>
      <c r="S13" s="8"/>
      <c r="T13" s="8" t="s">
        <v>25</v>
      </c>
      <c r="U13" s="8"/>
      <c r="V13" s="8"/>
      <c r="W13" s="8"/>
      <c r="X13" s="8"/>
      <c r="Y13" s="8"/>
      <c r="Z13" s="8"/>
      <c r="AA13" s="8"/>
      <c r="AB13" s="8"/>
      <c r="AC13" s="8"/>
      <c r="AD13" s="8"/>
      <c r="AE13" s="8"/>
      <c r="AF13" s="8"/>
      <c r="AG13" s="8"/>
      <c r="AH13" s="8"/>
      <c r="AI13" s="8"/>
      <c r="AJ13" s="8"/>
      <c r="AK13" s="8"/>
      <c r="AL13" s="8"/>
      <c r="AM13" s="8">
        <v>33</v>
      </c>
      <c r="AN13" s="8">
        <v>32</v>
      </c>
      <c r="AO13" s="8">
        <v>34</v>
      </c>
      <c r="AP13" s="8">
        <v>32</v>
      </c>
      <c r="AQ13" s="8">
        <v>32</v>
      </c>
      <c r="AR13" s="8">
        <v>29</v>
      </c>
      <c r="AS13" s="8"/>
      <c r="AT13" s="8">
        <v>31.3</v>
      </c>
      <c r="AU13" s="8" t="s">
        <v>94</v>
      </c>
    </row>
    <row r="14" spans="1:47" ht="26.4" customHeight="1">
      <c r="A14" s="8" t="s">
        <v>95</v>
      </c>
      <c r="B14" s="8" t="s">
        <v>96</v>
      </c>
      <c r="C14" s="8" t="s">
        <v>97</v>
      </c>
      <c r="D14" s="8" t="s">
        <v>25</v>
      </c>
      <c r="E14" s="8" t="s">
        <v>26</v>
      </c>
      <c r="F14" s="8"/>
      <c r="G14" s="8" t="s">
        <v>25</v>
      </c>
      <c r="H14" s="8" t="s">
        <v>27</v>
      </c>
      <c r="I14" s="8"/>
      <c r="J14" s="8"/>
      <c r="K14" s="8"/>
      <c r="L14" s="8" t="s">
        <v>25</v>
      </c>
      <c r="M14" s="8"/>
      <c r="N14" s="8" t="s">
        <v>25</v>
      </c>
      <c r="O14" s="8" t="s">
        <v>98</v>
      </c>
      <c r="P14" s="8" t="s">
        <v>99</v>
      </c>
      <c r="Q14" s="8"/>
      <c r="R14" s="8" t="s">
        <v>25</v>
      </c>
      <c r="S14" s="8"/>
      <c r="T14" s="8" t="s">
        <v>25</v>
      </c>
      <c r="U14" s="8"/>
      <c r="V14" s="8"/>
      <c r="W14" s="8"/>
      <c r="X14" s="8"/>
      <c r="Y14" s="8"/>
      <c r="Z14" s="8"/>
      <c r="AA14" s="8"/>
      <c r="AB14" s="8"/>
      <c r="AC14" s="8"/>
      <c r="AD14" s="8"/>
      <c r="AE14" s="8"/>
      <c r="AF14" s="8"/>
      <c r="AG14" s="8"/>
      <c r="AH14" s="8"/>
      <c r="AI14" s="8"/>
      <c r="AJ14" s="8"/>
      <c r="AK14" s="8">
        <v>16.8</v>
      </c>
      <c r="AL14" s="8"/>
      <c r="AM14" s="8"/>
      <c r="AN14" s="15">
        <v>17</v>
      </c>
      <c r="AO14" s="8">
        <v>18.8</v>
      </c>
      <c r="AP14" s="8">
        <v>16.8</v>
      </c>
      <c r="AQ14" s="15">
        <v>19</v>
      </c>
      <c r="AR14" s="8"/>
      <c r="AS14" s="8"/>
      <c r="AT14" s="15">
        <v>16</v>
      </c>
      <c r="AU14" s="8" t="s">
        <v>100</v>
      </c>
    </row>
    <row r="15" spans="1:47" ht="39.6" customHeight="1">
      <c r="A15" s="8" t="s">
        <v>101</v>
      </c>
      <c r="B15" s="8" t="s">
        <v>102</v>
      </c>
      <c r="C15" s="8" t="s">
        <v>103</v>
      </c>
      <c r="D15" s="8" t="s">
        <v>25</v>
      </c>
      <c r="E15" s="8" t="s">
        <v>26</v>
      </c>
      <c r="F15" s="8"/>
      <c r="G15" s="8" t="s">
        <v>25</v>
      </c>
      <c r="H15" s="8" t="s">
        <v>27</v>
      </c>
      <c r="I15" s="8"/>
      <c r="J15" s="8"/>
      <c r="K15" s="8"/>
      <c r="L15" s="8" t="s">
        <v>25</v>
      </c>
      <c r="M15" s="8"/>
      <c r="N15" s="8" t="s">
        <v>25</v>
      </c>
      <c r="O15" s="8" t="s">
        <v>104</v>
      </c>
      <c r="P15" s="8" t="s">
        <v>105</v>
      </c>
      <c r="Q15" s="8"/>
      <c r="R15" s="8" t="s">
        <v>25</v>
      </c>
      <c r="S15" s="8"/>
      <c r="T15" s="8" t="s">
        <v>25</v>
      </c>
      <c r="U15" s="8"/>
      <c r="V15" s="8"/>
      <c r="W15" s="8"/>
      <c r="X15" s="8"/>
      <c r="Y15" s="8"/>
      <c r="Z15" s="8"/>
      <c r="AA15" s="15">
        <v>51</v>
      </c>
      <c r="AB15" s="8"/>
      <c r="AC15" s="8"/>
      <c r="AD15" s="8"/>
      <c r="AE15" s="8"/>
      <c r="AF15" s="15">
        <v>44</v>
      </c>
      <c r="AG15" s="8"/>
      <c r="AH15" s="8"/>
      <c r="AI15" s="8"/>
      <c r="AJ15" s="8"/>
      <c r="AK15" s="8">
        <v>37.9</v>
      </c>
      <c r="AL15" s="8"/>
      <c r="AM15" s="8"/>
      <c r="AN15" s="8"/>
      <c r="AO15" s="8"/>
      <c r="AP15" s="8">
        <v>33.1</v>
      </c>
      <c r="AQ15" s="8"/>
      <c r="AR15" s="8"/>
      <c r="AS15" s="8"/>
      <c r="AT15" s="8">
        <v>27</v>
      </c>
      <c r="AU15" s="8" t="s">
        <v>106</v>
      </c>
    </row>
    <row r="16" spans="1:47" ht="39.6" customHeight="1">
      <c r="A16" s="8" t="s">
        <v>107</v>
      </c>
      <c r="B16" s="8" t="s">
        <v>108</v>
      </c>
      <c r="C16" s="8" t="s">
        <v>109</v>
      </c>
      <c r="D16" s="8" t="s">
        <v>25</v>
      </c>
      <c r="E16" s="8" t="s">
        <v>26</v>
      </c>
      <c r="F16" s="8"/>
      <c r="G16" s="8" t="s">
        <v>25</v>
      </c>
      <c r="H16" s="8" t="s">
        <v>27</v>
      </c>
      <c r="I16" s="8"/>
      <c r="J16" s="8"/>
      <c r="K16" s="8"/>
      <c r="L16" s="8" t="s">
        <v>25</v>
      </c>
      <c r="M16" s="8"/>
      <c r="N16" s="8" t="s">
        <v>25</v>
      </c>
      <c r="O16" s="8" t="s">
        <v>104</v>
      </c>
      <c r="P16" s="8" t="s">
        <v>110</v>
      </c>
      <c r="Q16" s="8"/>
      <c r="R16" s="8" t="s">
        <v>111</v>
      </c>
      <c r="S16" s="8" t="s">
        <v>112</v>
      </c>
      <c r="T16" s="8" t="s">
        <v>25</v>
      </c>
      <c r="U16" s="8"/>
      <c r="V16" s="8"/>
      <c r="W16" s="8"/>
      <c r="X16" s="8"/>
      <c r="Y16" s="8"/>
      <c r="Z16" s="8"/>
      <c r="AA16" s="15">
        <v>5</v>
      </c>
      <c r="AB16" s="8"/>
      <c r="AC16" s="8"/>
      <c r="AD16" s="8"/>
      <c r="AE16" s="8"/>
      <c r="AF16" s="15">
        <v>3</v>
      </c>
      <c r="AG16" s="8"/>
      <c r="AH16" s="8"/>
      <c r="AI16" s="8"/>
      <c r="AJ16" s="8"/>
      <c r="AK16" s="15">
        <v>2</v>
      </c>
      <c r="AL16" s="8"/>
      <c r="AM16" s="8"/>
      <c r="AN16" s="8"/>
      <c r="AO16" s="8"/>
      <c r="AP16" s="8">
        <v>1.1000000000000001</v>
      </c>
      <c r="AQ16" s="8"/>
      <c r="AR16" s="8"/>
      <c r="AS16" s="8"/>
      <c r="AT16" s="15">
        <v>5</v>
      </c>
      <c r="AU16" s="8" t="s">
        <v>113</v>
      </c>
    </row>
    <row r="17" spans="1:47" ht="26.4" hidden="1" customHeight="1">
      <c r="A17" s="8" t="s">
        <v>114</v>
      </c>
      <c r="B17" s="8" t="s">
        <v>115</v>
      </c>
      <c r="C17" s="8" t="s">
        <v>116</v>
      </c>
      <c r="D17" s="8" t="s">
        <v>25</v>
      </c>
      <c r="E17" s="8" t="s">
        <v>57</v>
      </c>
      <c r="F17" s="8"/>
      <c r="G17" s="8" t="s">
        <v>25</v>
      </c>
      <c r="H17" s="8" t="s">
        <v>27</v>
      </c>
      <c r="I17" s="8"/>
      <c r="J17" s="8"/>
      <c r="K17" s="8"/>
      <c r="L17" s="8" t="s">
        <v>25</v>
      </c>
      <c r="M17" s="8"/>
      <c r="N17" s="8" t="s">
        <v>25</v>
      </c>
      <c r="O17" s="8" t="s">
        <v>117</v>
      </c>
      <c r="P17" s="8" t="s">
        <v>118</v>
      </c>
      <c r="Q17" s="8"/>
      <c r="R17" s="8" t="s">
        <v>25</v>
      </c>
      <c r="S17" s="8"/>
      <c r="T17" s="8" t="s">
        <v>25</v>
      </c>
      <c r="U17" s="8"/>
      <c r="V17" s="8"/>
      <c r="W17" s="8"/>
      <c r="X17" s="8"/>
      <c r="Y17" s="8"/>
      <c r="Z17" s="8"/>
      <c r="AA17" s="8"/>
      <c r="AB17" s="8"/>
      <c r="AC17" s="8"/>
      <c r="AD17" s="8"/>
      <c r="AE17" s="8"/>
      <c r="AF17" s="8"/>
      <c r="AG17" s="8"/>
      <c r="AH17" s="8"/>
      <c r="AI17" s="8"/>
      <c r="AJ17" s="8"/>
      <c r="AK17" s="8"/>
      <c r="AL17" s="8"/>
      <c r="AM17" s="8"/>
      <c r="AN17" s="8"/>
      <c r="AO17" s="8">
        <v>1335</v>
      </c>
      <c r="AP17" s="8">
        <v>1363</v>
      </c>
      <c r="AQ17" s="8"/>
      <c r="AR17" s="8">
        <v>1335</v>
      </c>
      <c r="AS17" s="8"/>
      <c r="AT17" s="8"/>
      <c r="AU17" s="8" t="s">
        <v>119</v>
      </c>
    </row>
    <row r="18" spans="1:47" ht="39.6" customHeight="1">
      <c r="A18" s="8" t="s">
        <v>120</v>
      </c>
      <c r="B18" s="8" t="s">
        <v>121</v>
      </c>
      <c r="C18" s="8" t="s">
        <v>122</v>
      </c>
      <c r="D18" s="8" t="s">
        <v>25</v>
      </c>
      <c r="E18" s="8" t="s">
        <v>123</v>
      </c>
      <c r="F18" s="8"/>
      <c r="G18" s="8" t="s">
        <v>25</v>
      </c>
      <c r="H18" s="8" t="s">
        <v>27</v>
      </c>
      <c r="I18" s="8"/>
      <c r="J18" s="8"/>
      <c r="K18" s="8"/>
      <c r="L18" s="8" t="s">
        <v>25</v>
      </c>
      <c r="M18" s="8"/>
      <c r="N18" s="8" t="s">
        <v>25</v>
      </c>
      <c r="O18" s="8" t="s">
        <v>104</v>
      </c>
      <c r="P18" s="8" t="s">
        <v>121</v>
      </c>
      <c r="Q18" s="8"/>
      <c r="R18" s="8" t="s">
        <v>25</v>
      </c>
      <c r="S18" s="8"/>
      <c r="T18" s="8" t="s">
        <v>25</v>
      </c>
      <c r="U18" s="8"/>
      <c r="V18" s="8">
        <v>1071</v>
      </c>
      <c r="W18" s="8"/>
      <c r="X18" s="8"/>
      <c r="Y18" s="8"/>
      <c r="Z18" s="8"/>
      <c r="AA18" s="8">
        <v>750</v>
      </c>
      <c r="AB18" s="8"/>
      <c r="AC18" s="8"/>
      <c r="AD18" s="8"/>
      <c r="AE18" s="8"/>
      <c r="AF18" s="8">
        <v>476</v>
      </c>
      <c r="AG18" s="8"/>
      <c r="AH18" s="8"/>
      <c r="AI18" s="8"/>
      <c r="AJ18" s="8"/>
      <c r="AK18" s="8">
        <v>210</v>
      </c>
      <c r="AL18" s="8"/>
      <c r="AM18" s="8"/>
      <c r="AN18" s="8"/>
      <c r="AO18" s="8"/>
      <c r="AP18" s="8">
        <v>203</v>
      </c>
      <c r="AQ18" s="8"/>
      <c r="AR18" s="8"/>
      <c r="AS18" s="8"/>
      <c r="AT18" s="8">
        <v>149</v>
      </c>
      <c r="AU18" s="8" t="s">
        <v>124</v>
      </c>
    </row>
    <row r="19" spans="1:47" ht="39.6" customHeight="1">
      <c r="A19" s="8" t="s">
        <v>125</v>
      </c>
      <c r="B19" s="8" t="s">
        <v>126</v>
      </c>
      <c r="C19" s="8" t="s">
        <v>127</v>
      </c>
      <c r="D19" s="8" t="s">
        <v>25</v>
      </c>
      <c r="E19" s="8" t="s">
        <v>26</v>
      </c>
      <c r="F19" s="8"/>
      <c r="G19" s="8" t="s">
        <v>25</v>
      </c>
      <c r="H19" s="8" t="s">
        <v>27</v>
      </c>
      <c r="I19" s="8"/>
      <c r="J19" s="8"/>
      <c r="K19" s="8"/>
      <c r="L19" s="8" t="s">
        <v>25</v>
      </c>
      <c r="M19" s="8"/>
      <c r="N19" s="8" t="s">
        <v>25</v>
      </c>
      <c r="O19" s="8" t="s">
        <v>104</v>
      </c>
      <c r="P19" s="8" t="s">
        <v>126</v>
      </c>
      <c r="Q19" s="8"/>
      <c r="R19" s="8" t="s">
        <v>25</v>
      </c>
      <c r="S19" s="8"/>
      <c r="T19" s="8" t="s">
        <v>25</v>
      </c>
      <c r="U19" s="8"/>
      <c r="V19" s="8"/>
      <c r="W19" s="8"/>
      <c r="X19" s="8"/>
      <c r="Y19" s="8"/>
      <c r="Z19" s="8"/>
      <c r="AA19" s="8">
        <v>38.6</v>
      </c>
      <c r="AB19" s="8"/>
      <c r="AC19" s="8"/>
      <c r="AD19" s="15">
        <v>52</v>
      </c>
      <c r="AE19" s="8"/>
      <c r="AF19" s="15">
        <v>69</v>
      </c>
      <c r="AG19" s="8"/>
      <c r="AH19" s="8"/>
      <c r="AI19" s="8"/>
      <c r="AJ19" s="8"/>
      <c r="AK19" s="15">
        <v>91</v>
      </c>
      <c r="AL19" s="8"/>
      <c r="AM19" s="8"/>
      <c r="AN19" s="8"/>
      <c r="AO19" s="8"/>
      <c r="AP19" s="8">
        <v>94.2</v>
      </c>
      <c r="AQ19" s="8"/>
      <c r="AR19" s="8"/>
      <c r="AS19" s="8"/>
      <c r="AT19" s="15">
        <v>98</v>
      </c>
      <c r="AU19" s="8" t="s">
        <v>128</v>
      </c>
    </row>
    <row r="20" spans="1:47" ht="39.6" customHeight="1">
      <c r="A20" s="8" t="s">
        <v>129</v>
      </c>
      <c r="B20" s="8" t="s">
        <v>130</v>
      </c>
      <c r="C20" s="8" t="s">
        <v>131</v>
      </c>
      <c r="D20" s="8" t="s">
        <v>25</v>
      </c>
      <c r="E20" s="8" t="s">
        <v>132</v>
      </c>
      <c r="F20" s="8"/>
      <c r="G20" s="8" t="s">
        <v>25</v>
      </c>
      <c r="H20" s="8" t="s">
        <v>27</v>
      </c>
      <c r="I20" s="8"/>
      <c r="J20" s="8"/>
      <c r="K20" s="8"/>
      <c r="L20" s="8" t="s">
        <v>25</v>
      </c>
      <c r="M20" s="8"/>
      <c r="N20" s="8" t="s">
        <v>25</v>
      </c>
      <c r="O20" s="8" t="s">
        <v>104</v>
      </c>
      <c r="P20" s="8" t="s">
        <v>130</v>
      </c>
      <c r="Q20" s="8"/>
      <c r="R20" s="8" t="s">
        <v>111</v>
      </c>
      <c r="S20" s="8" t="s">
        <v>112</v>
      </c>
      <c r="T20" s="8" t="s">
        <v>25</v>
      </c>
      <c r="U20" s="8"/>
      <c r="V20" s="8">
        <v>196</v>
      </c>
      <c r="W20" s="8"/>
      <c r="X20" s="8"/>
      <c r="Y20" s="8"/>
      <c r="Z20" s="8"/>
      <c r="AA20" s="8">
        <v>152</v>
      </c>
      <c r="AB20" s="8"/>
      <c r="AC20" s="8"/>
      <c r="AD20" s="8">
        <v>103</v>
      </c>
      <c r="AE20" s="8"/>
      <c r="AF20" s="8">
        <v>76</v>
      </c>
      <c r="AG20" s="8"/>
      <c r="AH20" s="8"/>
      <c r="AI20" s="8"/>
      <c r="AJ20" s="8"/>
      <c r="AK20" s="8">
        <v>50</v>
      </c>
      <c r="AL20" s="8"/>
      <c r="AM20" s="8"/>
      <c r="AN20" s="8"/>
      <c r="AO20" s="8"/>
      <c r="AP20" s="8">
        <v>45</v>
      </c>
      <c r="AQ20" s="8"/>
      <c r="AR20" s="8"/>
      <c r="AS20" s="8"/>
      <c r="AT20" s="8">
        <v>36</v>
      </c>
      <c r="AU20" s="8" t="s">
        <v>133</v>
      </c>
    </row>
    <row r="21" spans="1:47" ht="39.6" customHeight="1">
      <c r="A21" s="8" t="s">
        <v>134</v>
      </c>
      <c r="B21" s="8" t="s">
        <v>135</v>
      </c>
      <c r="C21" s="8" t="s">
        <v>136</v>
      </c>
      <c r="D21" s="8" t="s">
        <v>25</v>
      </c>
      <c r="E21" s="8" t="s">
        <v>132</v>
      </c>
      <c r="F21" s="8"/>
      <c r="G21" s="8" t="s">
        <v>25</v>
      </c>
      <c r="H21" s="8" t="s">
        <v>27</v>
      </c>
      <c r="I21" s="8"/>
      <c r="J21" s="8"/>
      <c r="K21" s="8"/>
      <c r="L21" s="8" t="s">
        <v>25</v>
      </c>
      <c r="M21" s="8"/>
      <c r="N21" s="8" t="s">
        <v>25</v>
      </c>
      <c r="O21" s="8" t="s">
        <v>104</v>
      </c>
      <c r="P21" s="8" t="s">
        <v>135</v>
      </c>
      <c r="Q21" s="8"/>
      <c r="R21" s="8" t="s">
        <v>137</v>
      </c>
      <c r="S21" s="8" t="s">
        <v>138</v>
      </c>
      <c r="T21" s="8" t="s">
        <v>25</v>
      </c>
      <c r="U21" s="8"/>
      <c r="V21" s="8"/>
      <c r="W21" s="8"/>
      <c r="X21" s="8"/>
      <c r="Y21" s="8"/>
      <c r="Z21" s="8"/>
      <c r="AA21" s="8">
        <v>37</v>
      </c>
      <c r="AB21" s="8"/>
      <c r="AC21" s="8"/>
      <c r="AD21" s="8">
        <v>28</v>
      </c>
      <c r="AE21" s="8"/>
      <c r="AF21" s="8">
        <v>27</v>
      </c>
      <c r="AG21" s="8"/>
      <c r="AH21" s="8"/>
      <c r="AI21" s="8"/>
      <c r="AJ21" s="8"/>
      <c r="AK21" s="8">
        <v>20</v>
      </c>
      <c r="AL21" s="8"/>
      <c r="AM21" s="8"/>
      <c r="AN21" s="8"/>
      <c r="AO21" s="8"/>
      <c r="AP21" s="8">
        <v>19</v>
      </c>
      <c r="AQ21" s="8"/>
      <c r="AR21" s="8"/>
      <c r="AS21" s="8"/>
      <c r="AT21" s="15">
        <v>17</v>
      </c>
      <c r="AU21" s="8" t="s">
        <v>133</v>
      </c>
    </row>
    <row r="22" spans="1:47" ht="26.4" hidden="1" customHeight="1">
      <c r="A22" s="8" t="s">
        <v>139</v>
      </c>
      <c r="B22" s="8" t="s">
        <v>140</v>
      </c>
      <c r="C22" s="8" t="s">
        <v>141</v>
      </c>
      <c r="D22" s="8" t="s">
        <v>25</v>
      </c>
      <c r="E22" s="8" t="s">
        <v>142</v>
      </c>
      <c r="F22" s="8"/>
      <c r="G22" s="8" t="s">
        <v>25</v>
      </c>
      <c r="H22" s="8" t="s">
        <v>27</v>
      </c>
      <c r="I22" s="8"/>
      <c r="J22" s="8"/>
      <c r="K22" s="8"/>
      <c r="L22" s="8" t="s">
        <v>25</v>
      </c>
      <c r="M22" s="8"/>
      <c r="N22" s="8" t="s">
        <v>25</v>
      </c>
      <c r="O22" s="8" t="s">
        <v>143</v>
      </c>
      <c r="P22" s="8" t="s">
        <v>144</v>
      </c>
      <c r="Q22" s="8"/>
      <c r="R22" s="8" t="s">
        <v>25</v>
      </c>
      <c r="S22" s="8"/>
      <c r="T22" s="8" t="s">
        <v>25</v>
      </c>
      <c r="U22" s="8"/>
      <c r="V22" s="8"/>
      <c r="W22" s="8"/>
      <c r="X22" s="8"/>
      <c r="Y22" s="8"/>
      <c r="Z22" s="8"/>
      <c r="AA22" s="8"/>
      <c r="AB22" s="8"/>
      <c r="AC22" s="8"/>
      <c r="AD22" s="8"/>
      <c r="AE22" s="8"/>
      <c r="AF22" s="8"/>
      <c r="AG22" s="8"/>
      <c r="AH22" s="8"/>
      <c r="AI22" s="8">
        <v>2.7</v>
      </c>
      <c r="AJ22" s="8"/>
      <c r="AK22" s="8"/>
      <c r="AL22" s="8"/>
      <c r="AM22" s="8"/>
      <c r="AN22" s="15">
        <v>0.08</v>
      </c>
      <c r="AO22" s="8"/>
      <c r="AP22" s="8"/>
      <c r="AQ22" s="8"/>
      <c r="AR22" s="8"/>
      <c r="AS22" s="8"/>
      <c r="AT22" s="8"/>
      <c r="AU22" s="8" t="s">
        <v>145</v>
      </c>
    </row>
    <row r="23" spans="1:47" ht="26.4" hidden="1" customHeight="1">
      <c r="A23" s="8" t="s">
        <v>146</v>
      </c>
      <c r="B23" s="8" t="s">
        <v>147</v>
      </c>
      <c r="C23" s="8" t="s">
        <v>148</v>
      </c>
      <c r="D23" s="8" t="s">
        <v>25</v>
      </c>
      <c r="E23" s="8" t="s">
        <v>64</v>
      </c>
      <c r="F23" s="8"/>
      <c r="G23" s="8" t="s">
        <v>25</v>
      </c>
      <c r="H23" s="8" t="s">
        <v>27</v>
      </c>
      <c r="I23" s="8"/>
      <c r="J23" s="8"/>
      <c r="K23" s="8"/>
      <c r="L23" s="8" t="s">
        <v>25</v>
      </c>
      <c r="M23" s="8"/>
      <c r="N23" s="8" t="s">
        <v>25</v>
      </c>
      <c r="O23" s="8" t="s">
        <v>149</v>
      </c>
      <c r="P23" s="8" t="s">
        <v>150</v>
      </c>
      <c r="Q23" s="8"/>
      <c r="R23" s="8" t="s">
        <v>25</v>
      </c>
      <c r="S23" s="8"/>
      <c r="T23" s="8" t="s">
        <v>25</v>
      </c>
      <c r="U23" s="8"/>
      <c r="V23" s="8"/>
      <c r="W23" s="8"/>
      <c r="X23" s="8"/>
      <c r="Y23" s="8"/>
      <c r="Z23" s="8"/>
      <c r="AA23" s="8"/>
      <c r="AB23" s="8"/>
      <c r="AC23" s="8"/>
      <c r="AD23" s="8">
        <v>98</v>
      </c>
      <c r="AE23" s="8"/>
      <c r="AF23" s="8"/>
      <c r="AG23" s="8"/>
      <c r="AH23" s="8">
        <v>86</v>
      </c>
      <c r="AI23" s="8"/>
      <c r="AJ23" s="8"/>
      <c r="AK23" s="8">
        <v>56</v>
      </c>
      <c r="AL23" s="8"/>
      <c r="AM23" s="8">
        <v>50</v>
      </c>
      <c r="AN23" s="8">
        <v>58</v>
      </c>
      <c r="AO23" s="8"/>
      <c r="AP23" s="8">
        <v>58</v>
      </c>
      <c r="AQ23" s="8"/>
      <c r="AR23" s="8">
        <v>57</v>
      </c>
      <c r="AS23" s="8"/>
      <c r="AT23" s="8"/>
      <c r="AU23" s="8" t="s">
        <v>151</v>
      </c>
    </row>
    <row r="24" spans="1:47" ht="26.4" hidden="1" customHeight="1">
      <c r="A24" s="8" t="s">
        <v>152</v>
      </c>
      <c r="B24" s="8" t="s">
        <v>153</v>
      </c>
      <c r="C24" s="8" t="s">
        <v>154</v>
      </c>
      <c r="D24" s="8" t="s">
        <v>25</v>
      </c>
      <c r="E24" s="8" t="s">
        <v>155</v>
      </c>
      <c r="F24" s="8"/>
      <c r="G24" s="8" t="s">
        <v>25</v>
      </c>
      <c r="H24" s="8" t="s">
        <v>27</v>
      </c>
      <c r="I24" s="8"/>
      <c r="J24" s="8"/>
      <c r="K24" s="8"/>
      <c r="L24" s="8" t="s">
        <v>25</v>
      </c>
      <c r="M24" s="8"/>
      <c r="N24" s="8" t="s">
        <v>25</v>
      </c>
      <c r="O24" s="8" t="s">
        <v>156</v>
      </c>
      <c r="P24" s="8" t="s">
        <v>157</v>
      </c>
      <c r="Q24" s="8"/>
      <c r="R24" s="8" t="s">
        <v>25</v>
      </c>
      <c r="S24" s="8"/>
      <c r="T24" s="8" t="s">
        <v>25</v>
      </c>
      <c r="U24" s="8"/>
      <c r="V24" s="8"/>
      <c r="W24" s="8"/>
      <c r="X24" s="8"/>
      <c r="Y24" s="8"/>
      <c r="Z24" s="8"/>
      <c r="AA24" s="8"/>
      <c r="AB24" s="8"/>
      <c r="AC24" s="8"/>
      <c r="AD24" s="8"/>
      <c r="AE24" s="8"/>
      <c r="AF24" s="8"/>
      <c r="AG24" s="8"/>
      <c r="AH24" s="8"/>
      <c r="AI24" s="8"/>
      <c r="AJ24" s="8"/>
      <c r="AK24" s="8">
        <v>308</v>
      </c>
      <c r="AL24" s="8"/>
      <c r="AM24" s="8"/>
      <c r="AN24" s="8"/>
      <c r="AO24" s="8"/>
      <c r="AP24" s="8"/>
      <c r="AQ24" s="8">
        <v>114</v>
      </c>
      <c r="AR24" s="8">
        <v>76</v>
      </c>
      <c r="AS24" s="8">
        <v>47</v>
      </c>
      <c r="AT24" s="8">
        <v>45</v>
      </c>
      <c r="AU24" s="8" t="s">
        <v>158</v>
      </c>
    </row>
    <row r="25" spans="1:47" ht="14.4" hidden="1" customHeight="1">
      <c r="A25" s="8" t="s">
        <v>159</v>
      </c>
      <c r="B25" s="8" t="s">
        <v>160</v>
      </c>
      <c r="C25" s="8" t="s">
        <v>161</v>
      </c>
      <c r="D25" s="8" t="s">
        <v>25</v>
      </c>
      <c r="E25" s="8" t="s">
        <v>57</v>
      </c>
      <c r="F25" s="8"/>
      <c r="G25" s="8" t="s">
        <v>25</v>
      </c>
      <c r="H25" s="8" t="s">
        <v>27</v>
      </c>
      <c r="I25" s="8"/>
      <c r="J25" s="8"/>
      <c r="K25" s="8"/>
      <c r="L25" s="8" t="s">
        <v>25</v>
      </c>
      <c r="M25" s="8"/>
      <c r="N25" s="8" t="s">
        <v>25</v>
      </c>
      <c r="O25" s="8" t="s">
        <v>162</v>
      </c>
      <c r="P25" s="8" t="s">
        <v>160</v>
      </c>
      <c r="Q25" s="8"/>
      <c r="R25" s="8" t="s">
        <v>25</v>
      </c>
      <c r="S25" s="8"/>
      <c r="T25" s="8" t="s">
        <v>25</v>
      </c>
      <c r="U25" s="8"/>
      <c r="V25" s="8"/>
      <c r="W25" s="8"/>
      <c r="X25" s="8"/>
      <c r="Y25" s="8"/>
      <c r="Z25" s="8"/>
      <c r="AA25" s="8"/>
      <c r="AB25" s="8"/>
      <c r="AC25" s="8"/>
      <c r="AD25" s="8"/>
      <c r="AE25" s="8"/>
      <c r="AF25" s="8"/>
      <c r="AG25" s="8"/>
      <c r="AH25" s="8"/>
      <c r="AI25" s="8"/>
      <c r="AJ25" s="8"/>
      <c r="AK25" s="8"/>
      <c r="AL25" s="8">
        <v>4815291</v>
      </c>
      <c r="AM25" s="8"/>
      <c r="AN25" s="8"/>
      <c r="AO25" s="8"/>
      <c r="AP25" s="8"/>
      <c r="AQ25" s="8">
        <v>4935596</v>
      </c>
      <c r="AR25" s="8">
        <v>11532788</v>
      </c>
      <c r="AS25" s="8"/>
      <c r="AT25" s="8"/>
      <c r="AU25" s="8" t="s">
        <v>163</v>
      </c>
    </row>
    <row r="26" spans="1:47" ht="14.4" hidden="1" customHeight="1">
      <c r="A26" s="8" t="s">
        <v>164</v>
      </c>
      <c r="B26" s="8" t="s">
        <v>165</v>
      </c>
      <c r="C26" s="8" t="s">
        <v>166</v>
      </c>
      <c r="D26" s="8" t="s">
        <v>25</v>
      </c>
      <c r="E26" s="8" t="s">
        <v>64</v>
      </c>
      <c r="F26" s="8"/>
      <c r="G26" s="8" t="s">
        <v>25</v>
      </c>
      <c r="H26" s="8" t="s">
        <v>27</v>
      </c>
      <c r="I26" s="8"/>
      <c r="J26" s="8"/>
      <c r="K26" s="8"/>
      <c r="L26" s="8" t="s">
        <v>25</v>
      </c>
      <c r="M26" s="8"/>
      <c r="N26" s="8" t="s">
        <v>25</v>
      </c>
      <c r="O26" s="8" t="s">
        <v>167</v>
      </c>
      <c r="P26" s="8" t="s">
        <v>165</v>
      </c>
      <c r="Q26" s="8"/>
      <c r="R26" s="8" t="s">
        <v>25</v>
      </c>
      <c r="S26" s="8"/>
      <c r="T26" s="8" t="s">
        <v>25</v>
      </c>
      <c r="U26" s="8"/>
      <c r="V26" s="8"/>
      <c r="W26" s="8"/>
      <c r="X26" s="8"/>
      <c r="Y26" s="8"/>
      <c r="Z26" s="8"/>
      <c r="AA26" s="8"/>
      <c r="AB26" s="8"/>
      <c r="AC26" s="8"/>
      <c r="AD26" s="8"/>
      <c r="AE26" s="8"/>
      <c r="AF26" s="8"/>
      <c r="AG26" s="8"/>
      <c r="AH26" s="8"/>
      <c r="AI26" s="8"/>
      <c r="AJ26" s="8"/>
      <c r="AK26" s="15">
        <v>1.39</v>
      </c>
      <c r="AL26" s="15">
        <v>1.56</v>
      </c>
      <c r="AM26" s="15">
        <v>1.63</v>
      </c>
      <c r="AN26" s="8">
        <v>1.8</v>
      </c>
      <c r="AO26" s="15">
        <v>1.93</v>
      </c>
      <c r="AP26" s="8">
        <v>2.2999999999999998</v>
      </c>
      <c r="AQ26" s="15">
        <v>2.66</v>
      </c>
      <c r="AR26" s="8">
        <v>2.8</v>
      </c>
      <c r="AS26" s="8"/>
      <c r="AT26" s="8"/>
      <c r="AU26" s="8" t="s">
        <v>168</v>
      </c>
    </row>
    <row r="27" spans="1:47" ht="14.4" hidden="1" customHeight="1">
      <c r="A27" s="8" t="s">
        <v>169</v>
      </c>
      <c r="B27" s="8" t="s">
        <v>170</v>
      </c>
      <c r="C27" s="8" t="s">
        <v>171</v>
      </c>
      <c r="D27" s="8" t="s">
        <v>25</v>
      </c>
      <c r="E27" s="8" t="s">
        <v>26</v>
      </c>
      <c r="F27" s="8"/>
      <c r="G27" s="8" t="s">
        <v>25</v>
      </c>
      <c r="H27" s="8" t="s">
        <v>27</v>
      </c>
      <c r="I27" s="8"/>
      <c r="J27" s="8"/>
      <c r="K27" s="8"/>
      <c r="L27" s="8" t="s">
        <v>25</v>
      </c>
      <c r="M27" s="8"/>
      <c r="N27" s="8" t="s">
        <v>25</v>
      </c>
      <c r="O27" s="8" t="s">
        <v>172</v>
      </c>
      <c r="P27" s="8" t="s">
        <v>173</v>
      </c>
      <c r="Q27" s="8"/>
      <c r="R27" s="8" t="s">
        <v>25</v>
      </c>
      <c r="S27" s="8"/>
      <c r="T27" s="8" t="s">
        <v>25</v>
      </c>
      <c r="U27" s="8"/>
      <c r="V27" s="8"/>
      <c r="W27" s="8"/>
      <c r="X27" s="8"/>
      <c r="Y27" s="8"/>
      <c r="Z27" s="8"/>
      <c r="AA27" s="8"/>
      <c r="AB27" s="8"/>
      <c r="AC27" s="8"/>
      <c r="AD27" s="8"/>
      <c r="AE27" s="8"/>
      <c r="AF27" s="8"/>
      <c r="AG27" s="8"/>
      <c r="AH27" s="8">
        <v>23.5</v>
      </c>
      <c r="AI27" s="8"/>
      <c r="AJ27" s="8"/>
      <c r="AK27" s="8"/>
      <c r="AL27" s="8"/>
      <c r="AM27" s="8"/>
      <c r="AN27" s="8"/>
      <c r="AO27" s="8"/>
      <c r="AP27" s="8"/>
      <c r="AQ27" s="8"/>
      <c r="AR27" s="8">
        <v>15.2</v>
      </c>
      <c r="AS27" s="8"/>
      <c r="AT27" s="8"/>
      <c r="AU27" s="8" t="s">
        <v>174</v>
      </c>
    </row>
    <row r="28" spans="1:47" ht="26.4" customHeight="1">
      <c r="A28" s="8" t="s">
        <v>175</v>
      </c>
      <c r="B28" s="8" t="s">
        <v>176</v>
      </c>
      <c r="C28" s="8" t="s">
        <v>177</v>
      </c>
      <c r="D28" s="8" t="s">
        <v>25</v>
      </c>
      <c r="E28" s="8" t="s">
        <v>64</v>
      </c>
      <c r="F28" s="8"/>
      <c r="G28" s="8" t="s">
        <v>25</v>
      </c>
      <c r="H28" s="8" t="s">
        <v>27</v>
      </c>
      <c r="I28" s="8"/>
      <c r="J28" s="8"/>
      <c r="K28" s="8"/>
      <c r="L28" s="8" t="s">
        <v>25</v>
      </c>
      <c r="M28" s="8"/>
      <c r="N28" s="8" t="s">
        <v>25</v>
      </c>
      <c r="O28" s="8" t="s">
        <v>178</v>
      </c>
      <c r="P28" s="8" t="s">
        <v>176</v>
      </c>
      <c r="Q28" s="8"/>
      <c r="R28" s="8" t="s">
        <v>25</v>
      </c>
      <c r="S28" s="8"/>
      <c r="T28" s="8" t="s">
        <v>25</v>
      </c>
      <c r="U28" s="8"/>
      <c r="V28" s="8"/>
      <c r="W28" s="8"/>
      <c r="X28" s="8"/>
      <c r="Y28" s="8"/>
      <c r="Z28" s="8"/>
      <c r="AA28" s="8"/>
      <c r="AB28" s="8"/>
      <c r="AC28" s="8"/>
      <c r="AD28" s="8"/>
      <c r="AE28" s="8"/>
      <c r="AF28" s="8"/>
      <c r="AG28" s="8"/>
      <c r="AH28" s="8"/>
      <c r="AI28" s="8">
        <v>2.9</v>
      </c>
      <c r="AJ28" s="8">
        <v>3.3</v>
      </c>
      <c r="AK28" s="8">
        <v>5.2</v>
      </c>
      <c r="AL28" s="8">
        <v>5.0999999999999996</v>
      </c>
      <c r="AM28" s="8">
        <v>4.5999999999999996</v>
      </c>
      <c r="AN28" s="8">
        <v>4.9000000000000004</v>
      </c>
      <c r="AO28" s="8">
        <v>5.4</v>
      </c>
      <c r="AP28" s="8">
        <v>5.2</v>
      </c>
      <c r="AQ28" s="15">
        <v>4.87</v>
      </c>
      <c r="AR28" s="15">
        <v>5.99</v>
      </c>
      <c r="AS28" s="8">
        <v>5.9</v>
      </c>
      <c r="AT28" s="8">
        <v>5.5</v>
      </c>
      <c r="AU28" s="8" t="s">
        <v>179</v>
      </c>
    </row>
    <row r="29" spans="1:47" ht="39.6" customHeight="1">
      <c r="A29" s="8" t="s">
        <v>180</v>
      </c>
      <c r="B29" s="8" t="s">
        <v>181</v>
      </c>
      <c r="C29" s="8" t="s">
        <v>182</v>
      </c>
      <c r="D29" s="8" t="s">
        <v>25</v>
      </c>
      <c r="E29" s="8" t="s">
        <v>26</v>
      </c>
      <c r="F29" s="8"/>
      <c r="G29" s="8" t="s">
        <v>25</v>
      </c>
      <c r="H29" s="8" t="s">
        <v>27</v>
      </c>
      <c r="I29" s="8"/>
      <c r="J29" s="8"/>
      <c r="K29" s="8"/>
      <c r="L29" s="8" t="s">
        <v>25</v>
      </c>
      <c r="M29" s="8"/>
      <c r="N29" s="8" t="s">
        <v>25</v>
      </c>
      <c r="O29" s="8" t="s">
        <v>104</v>
      </c>
      <c r="P29" s="8" t="s">
        <v>183</v>
      </c>
      <c r="Q29" s="8"/>
      <c r="R29" s="8" t="s">
        <v>184</v>
      </c>
      <c r="S29" s="8" t="s">
        <v>185</v>
      </c>
      <c r="T29" s="8" t="s">
        <v>186</v>
      </c>
      <c r="U29" s="8" t="s">
        <v>187</v>
      </c>
      <c r="V29" s="8"/>
      <c r="W29" s="8"/>
      <c r="X29" s="8"/>
      <c r="Y29" s="8"/>
      <c r="Z29" s="8"/>
      <c r="AA29" s="8"/>
      <c r="AB29" s="8"/>
      <c r="AC29" s="8"/>
      <c r="AD29" s="8"/>
      <c r="AE29" s="8"/>
      <c r="AF29" s="15">
        <v>62</v>
      </c>
      <c r="AG29" s="8"/>
      <c r="AH29" s="8"/>
      <c r="AI29" s="8"/>
      <c r="AJ29" s="8"/>
      <c r="AK29" s="15">
        <v>66</v>
      </c>
      <c r="AL29" s="8"/>
      <c r="AM29" s="8"/>
      <c r="AN29" s="8"/>
      <c r="AO29" s="8"/>
      <c r="AP29" s="8">
        <v>73.7</v>
      </c>
      <c r="AQ29" s="8"/>
      <c r="AR29" s="8"/>
      <c r="AS29" s="8"/>
      <c r="AT29" s="15">
        <v>64</v>
      </c>
      <c r="AU29" s="8" t="s">
        <v>188</v>
      </c>
    </row>
    <row r="30" spans="1:47" ht="39.6" customHeight="1">
      <c r="A30" s="8" t="s">
        <v>189</v>
      </c>
      <c r="B30" s="8" t="s">
        <v>190</v>
      </c>
      <c r="C30" s="8" t="s">
        <v>191</v>
      </c>
      <c r="D30" s="8" t="s">
        <v>25</v>
      </c>
      <c r="E30" s="8" t="s">
        <v>155</v>
      </c>
      <c r="F30" s="8"/>
      <c r="G30" s="8" t="s">
        <v>25</v>
      </c>
      <c r="H30" s="8" t="s">
        <v>27</v>
      </c>
      <c r="I30" s="8"/>
      <c r="J30" s="8"/>
      <c r="K30" s="8"/>
      <c r="L30" s="8" t="s">
        <v>25</v>
      </c>
      <c r="M30" s="8"/>
      <c r="N30" s="8" t="s">
        <v>25</v>
      </c>
      <c r="O30" s="8" t="s">
        <v>104</v>
      </c>
      <c r="P30" s="8" t="s">
        <v>192</v>
      </c>
      <c r="Q30" s="8"/>
      <c r="R30" s="8" t="s">
        <v>193</v>
      </c>
      <c r="S30" s="8" t="s">
        <v>194</v>
      </c>
      <c r="T30" s="8" t="s">
        <v>186</v>
      </c>
      <c r="U30" s="8" t="s">
        <v>187</v>
      </c>
      <c r="V30" s="8"/>
      <c r="W30" s="8"/>
      <c r="X30" s="8"/>
      <c r="Y30" s="8"/>
      <c r="Z30" s="8"/>
      <c r="AA30" s="8"/>
      <c r="AB30" s="8"/>
      <c r="AC30" s="8"/>
      <c r="AD30" s="8"/>
      <c r="AE30" s="8"/>
      <c r="AF30" s="8"/>
      <c r="AG30" s="8"/>
      <c r="AH30" s="8"/>
      <c r="AI30" s="8"/>
      <c r="AJ30" s="8"/>
      <c r="AK30" s="15">
        <v>7</v>
      </c>
      <c r="AL30" s="8"/>
      <c r="AM30" s="8"/>
      <c r="AN30" s="8"/>
      <c r="AO30" s="8"/>
      <c r="AP30" s="8">
        <v>31.8</v>
      </c>
      <c r="AQ30" s="8"/>
      <c r="AR30" s="8"/>
      <c r="AS30" s="8"/>
      <c r="AT30" s="8">
        <v>8</v>
      </c>
      <c r="AU30" s="8" t="s">
        <v>195</v>
      </c>
    </row>
    <row r="31" spans="1:47" ht="26.4" hidden="1" customHeight="1">
      <c r="A31" s="8" t="s">
        <v>196</v>
      </c>
      <c r="B31" s="8" t="s">
        <v>197</v>
      </c>
      <c r="C31" s="8" t="s">
        <v>198</v>
      </c>
      <c r="D31" s="8" t="s">
        <v>25</v>
      </c>
      <c r="E31" s="8" t="s">
        <v>26</v>
      </c>
      <c r="F31" s="8"/>
      <c r="G31" s="8" t="s">
        <v>25</v>
      </c>
      <c r="H31" s="8" t="s">
        <v>27</v>
      </c>
      <c r="I31" s="8"/>
      <c r="J31" s="8"/>
      <c r="K31" s="8"/>
      <c r="L31" s="8" t="s">
        <v>25</v>
      </c>
      <c r="M31" s="8"/>
      <c r="N31" s="8" t="s">
        <v>25</v>
      </c>
      <c r="O31" s="8" t="s">
        <v>199</v>
      </c>
      <c r="P31" s="8" t="s">
        <v>200</v>
      </c>
      <c r="Q31" s="8"/>
      <c r="R31" s="8" t="s">
        <v>25</v>
      </c>
      <c r="S31" s="8"/>
      <c r="T31" s="8" t="s">
        <v>25</v>
      </c>
      <c r="U31" s="8"/>
      <c r="V31" s="8"/>
      <c r="W31" s="8"/>
      <c r="X31" s="8"/>
      <c r="Y31" s="8"/>
      <c r="Z31" s="8"/>
      <c r="AA31" s="8"/>
      <c r="AB31" s="8"/>
      <c r="AC31" s="8"/>
      <c r="AD31" s="8"/>
      <c r="AE31" s="8"/>
      <c r="AF31" s="8">
        <v>45.3</v>
      </c>
      <c r="AG31" s="8"/>
      <c r="AH31" s="8"/>
      <c r="AI31" s="8"/>
      <c r="AJ31" s="8"/>
      <c r="AK31" s="8">
        <v>53.1</v>
      </c>
      <c r="AL31" s="8"/>
      <c r="AM31" s="8"/>
      <c r="AN31" s="8"/>
      <c r="AO31" s="8"/>
      <c r="AP31" s="8">
        <v>53.7</v>
      </c>
      <c r="AQ31" s="8"/>
      <c r="AR31" s="8"/>
      <c r="AS31" s="8"/>
      <c r="AT31" s="8"/>
      <c r="AU31" s="8" t="s">
        <v>201</v>
      </c>
    </row>
    <row r="32" spans="1:47" ht="26.4" hidden="1" customHeight="1">
      <c r="A32" s="8" t="s">
        <v>202</v>
      </c>
      <c r="B32" s="8" t="s">
        <v>203</v>
      </c>
      <c r="C32" s="8" t="s">
        <v>204</v>
      </c>
      <c r="D32" s="8" t="s">
        <v>25</v>
      </c>
      <c r="E32" s="8" t="s">
        <v>26</v>
      </c>
      <c r="F32" s="8"/>
      <c r="G32" s="8" t="s">
        <v>25</v>
      </c>
      <c r="H32" s="8" t="s">
        <v>27</v>
      </c>
      <c r="I32" s="8"/>
      <c r="J32" s="8"/>
      <c r="K32" s="8"/>
      <c r="L32" s="8" t="s">
        <v>25</v>
      </c>
      <c r="M32" s="8"/>
      <c r="N32" s="8" t="s">
        <v>25</v>
      </c>
      <c r="O32" s="8" t="s">
        <v>205</v>
      </c>
      <c r="P32" s="8" t="s">
        <v>206</v>
      </c>
      <c r="Q32" s="8"/>
      <c r="R32" s="8" t="s">
        <v>25</v>
      </c>
      <c r="S32" s="8"/>
      <c r="T32" s="8" t="s">
        <v>25</v>
      </c>
      <c r="U32" s="8"/>
      <c r="V32" s="8"/>
      <c r="W32" s="8"/>
      <c r="X32" s="8"/>
      <c r="Y32" s="8"/>
      <c r="Z32" s="8"/>
      <c r="AA32" s="8"/>
      <c r="AB32" s="8"/>
      <c r="AC32" s="8"/>
      <c r="AD32" s="8"/>
      <c r="AE32" s="8"/>
      <c r="AF32" s="8"/>
      <c r="AG32" s="8"/>
      <c r="AH32" s="8"/>
      <c r="AI32" s="8"/>
      <c r="AJ32" s="8">
        <v>5.0999999999999996</v>
      </c>
      <c r="AK32" s="8"/>
      <c r="AL32" s="8"/>
      <c r="AM32" s="15">
        <v>4.83</v>
      </c>
      <c r="AN32" s="8"/>
      <c r="AO32" s="8"/>
      <c r="AP32" s="8"/>
      <c r="AQ32" s="8"/>
      <c r="AR32" s="8"/>
      <c r="AS32" s="8"/>
      <c r="AT32" s="8"/>
      <c r="AU32" s="8" t="s">
        <v>207</v>
      </c>
    </row>
    <row r="33" spans="1:47" ht="26.4" customHeight="1">
      <c r="A33" s="8" t="s">
        <v>208</v>
      </c>
      <c r="B33" s="8" t="s">
        <v>209</v>
      </c>
      <c r="C33" s="8" t="s">
        <v>210</v>
      </c>
      <c r="D33" s="8" t="s">
        <v>25</v>
      </c>
      <c r="E33" s="8" t="s">
        <v>26</v>
      </c>
      <c r="F33" s="8"/>
      <c r="G33" s="8" t="s">
        <v>25</v>
      </c>
      <c r="H33" s="8" t="s">
        <v>27</v>
      </c>
      <c r="I33" s="8"/>
      <c r="J33" s="8"/>
      <c r="K33" s="8"/>
      <c r="L33" s="8" t="s">
        <v>25</v>
      </c>
      <c r="M33" s="8"/>
      <c r="N33" s="8" t="s">
        <v>25</v>
      </c>
      <c r="O33" s="8" t="s">
        <v>104</v>
      </c>
      <c r="P33" s="8" t="s">
        <v>211</v>
      </c>
      <c r="Q33" s="8"/>
      <c r="R33" s="8" t="s">
        <v>212</v>
      </c>
      <c r="S33" s="8" t="s">
        <v>213</v>
      </c>
      <c r="T33" s="8" t="s">
        <v>25</v>
      </c>
      <c r="U33" s="8"/>
      <c r="V33" s="8"/>
      <c r="W33" s="8"/>
      <c r="X33" s="8"/>
      <c r="Y33" s="8"/>
      <c r="Z33" s="8"/>
      <c r="AA33" s="8"/>
      <c r="AB33" s="8"/>
      <c r="AC33" s="8"/>
      <c r="AD33" s="8"/>
      <c r="AE33" s="8"/>
      <c r="AF33" s="8"/>
      <c r="AG33" s="8"/>
      <c r="AH33" s="8"/>
      <c r="AI33" s="8"/>
      <c r="AJ33" s="8"/>
      <c r="AK33" s="8">
        <v>5.8</v>
      </c>
      <c r="AL33" s="8"/>
      <c r="AM33" s="8"/>
      <c r="AN33" s="8"/>
      <c r="AO33" s="8"/>
      <c r="AP33" s="8">
        <v>3.9</v>
      </c>
      <c r="AQ33" s="8"/>
      <c r="AR33" s="8"/>
      <c r="AS33" s="8"/>
      <c r="AT33" s="8"/>
      <c r="AU33" s="8" t="s">
        <v>214</v>
      </c>
    </row>
    <row r="34" spans="1:47" ht="26.4" hidden="1" customHeight="1">
      <c r="A34" s="8" t="s">
        <v>215</v>
      </c>
      <c r="B34" s="8" t="s">
        <v>216</v>
      </c>
      <c r="C34" s="8" t="s">
        <v>217</v>
      </c>
      <c r="D34" s="8" t="s">
        <v>25</v>
      </c>
      <c r="E34" s="8" t="s">
        <v>26</v>
      </c>
      <c r="F34" s="8"/>
      <c r="G34" s="8" t="s">
        <v>25</v>
      </c>
      <c r="H34" s="8" t="s">
        <v>27</v>
      </c>
      <c r="I34" s="8"/>
      <c r="J34" s="8"/>
      <c r="K34" s="8"/>
      <c r="L34" s="8" t="s">
        <v>25</v>
      </c>
      <c r="M34" s="8"/>
      <c r="N34" s="8" t="s">
        <v>25</v>
      </c>
      <c r="O34" s="8" t="s">
        <v>218</v>
      </c>
      <c r="P34" s="8" t="s">
        <v>219</v>
      </c>
      <c r="Q34" s="8"/>
      <c r="R34" s="8" t="s">
        <v>220</v>
      </c>
      <c r="S34" s="8" t="s">
        <v>221</v>
      </c>
      <c r="T34" s="8" t="s">
        <v>25</v>
      </c>
      <c r="U34" s="8"/>
      <c r="V34" s="8"/>
      <c r="W34" s="8"/>
      <c r="X34" s="8"/>
      <c r="Y34" s="8"/>
      <c r="Z34" s="8"/>
      <c r="AA34" s="8">
        <v>75</v>
      </c>
      <c r="AB34" s="8"/>
      <c r="AC34" s="8"/>
      <c r="AD34" s="8">
        <v>80</v>
      </c>
      <c r="AE34" s="8"/>
      <c r="AF34" s="8">
        <v>90</v>
      </c>
      <c r="AG34" s="8"/>
      <c r="AH34" s="8"/>
      <c r="AI34" s="8"/>
      <c r="AJ34" s="8"/>
      <c r="AK34" s="8">
        <v>93</v>
      </c>
      <c r="AL34" s="8"/>
      <c r="AM34" s="8"/>
      <c r="AN34" s="8">
        <v>97</v>
      </c>
      <c r="AO34" s="8">
        <v>98</v>
      </c>
      <c r="AP34" s="8">
        <v>99</v>
      </c>
      <c r="AQ34" s="8"/>
      <c r="AR34" s="8"/>
      <c r="AS34" s="8"/>
      <c r="AT34" s="8"/>
      <c r="AU34" s="8" t="s">
        <v>222</v>
      </c>
    </row>
    <row r="35" spans="1:47" ht="14.4" hidden="1" customHeight="1">
      <c r="A35" s="8" t="s">
        <v>223</v>
      </c>
      <c r="B35" s="8" t="s">
        <v>224</v>
      </c>
      <c r="C35" s="8" t="s">
        <v>225</v>
      </c>
      <c r="D35" s="8" t="s">
        <v>25</v>
      </c>
      <c r="E35" s="8" t="s">
        <v>155</v>
      </c>
      <c r="F35" s="8" t="s">
        <v>226</v>
      </c>
      <c r="G35" s="8" t="s">
        <v>227</v>
      </c>
      <c r="H35" s="8" t="s">
        <v>27</v>
      </c>
      <c r="I35" s="8"/>
      <c r="J35" s="8"/>
      <c r="K35" s="8"/>
      <c r="L35" s="8" t="s">
        <v>25</v>
      </c>
      <c r="M35" s="8"/>
      <c r="N35" s="8" t="s">
        <v>25</v>
      </c>
      <c r="O35" s="8" t="s">
        <v>228</v>
      </c>
      <c r="P35" s="8" t="s">
        <v>229</v>
      </c>
      <c r="Q35" s="8"/>
      <c r="R35" s="8" t="s">
        <v>25</v>
      </c>
      <c r="S35" s="8"/>
      <c r="T35" s="8" t="s">
        <v>25</v>
      </c>
      <c r="U35" s="8"/>
      <c r="V35" s="8"/>
      <c r="W35" s="8"/>
      <c r="X35" s="8"/>
      <c r="Y35" s="8"/>
      <c r="Z35" s="8"/>
      <c r="AA35" s="8"/>
      <c r="AB35" s="8"/>
      <c r="AC35" s="8"/>
      <c r="AD35" s="8"/>
      <c r="AE35" s="8"/>
      <c r="AF35" s="8"/>
      <c r="AG35" s="8"/>
      <c r="AH35" s="8"/>
      <c r="AI35" s="8"/>
      <c r="AJ35" s="8"/>
      <c r="AK35" s="8"/>
      <c r="AL35" s="8"/>
      <c r="AM35" s="8">
        <v>0.1</v>
      </c>
      <c r="AN35" s="8"/>
      <c r="AO35" s="8"/>
      <c r="AP35" s="8"/>
      <c r="AQ35" s="8"/>
      <c r="AR35" s="8"/>
      <c r="AS35" s="8"/>
      <c r="AT35" s="8"/>
      <c r="AU35" s="8" t="s">
        <v>230</v>
      </c>
    </row>
    <row r="36" spans="1:47" ht="26.4" hidden="1" customHeight="1">
      <c r="A36" s="8" t="s">
        <v>231</v>
      </c>
      <c r="B36" s="8" t="s">
        <v>232</v>
      </c>
      <c r="C36" s="8" t="s">
        <v>233</v>
      </c>
      <c r="D36" s="8" t="s">
        <v>234</v>
      </c>
      <c r="E36" s="8" t="s">
        <v>26</v>
      </c>
      <c r="F36" s="8"/>
      <c r="G36" s="8" t="s">
        <v>25</v>
      </c>
      <c r="H36" s="8" t="s">
        <v>27</v>
      </c>
      <c r="I36" s="8"/>
      <c r="J36" s="8"/>
      <c r="K36" s="8"/>
      <c r="L36" s="8" t="s">
        <v>25</v>
      </c>
      <c r="M36" s="8"/>
      <c r="N36" s="8" t="s">
        <v>25</v>
      </c>
      <c r="O36" s="8" t="s">
        <v>235</v>
      </c>
      <c r="P36" s="8" t="s">
        <v>236</v>
      </c>
      <c r="Q36" s="8"/>
      <c r="R36" s="8" t="s">
        <v>25</v>
      </c>
      <c r="S36" s="8"/>
      <c r="T36" s="8" t="s">
        <v>25</v>
      </c>
      <c r="U36" s="8"/>
      <c r="V36" s="8"/>
      <c r="W36" s="8"/>
      <c r="X36" s="8"/>
      <c r="Y36" s="8"/>
      <c r="Z36" s="8"/>
      <c r="AA36" s="8"/>
      <c r="AB36" s="8"/>
      <c r="AC36" s="8"/>
      <c r="AD36" s="8"/>
      <c r="AE36" s="8"/>
      <c r="AF36" s="8"/>
      <c r="AG36" s="8"/>
      <c r="AH36" s="8"/>
      <c r="AI36" s="8"/>
      <c r="AJ36" s="8">
        <v>25</v>
      </c>
      <c r="AK36" s="8"/>
      <c r="AL36" s="8"/>
      <c r="AM36" s="8">
        <v>25</v>
      </c>
      <c r="AN36" s="8"/>
      <c r="AO36" s="8"/>
      <c r="AP36" s="8"/>
      <c r="AQ36" s="8"/>
      <c r="AR36" s="8"/>
      <c r="AS36" s="8"/>
      <c r="AT36" s="8"/>
      <c r="AU36" s="8" t="s">
        <v>237</v>
      </c>
    </row>
    <row r="37" spans="1:47" ht="26.4" hidden="1" customHeight="1">
      <c r="A37" s="8" t="s">
        <v>238</v>
      </c>
      <c r="B37" s="8" t="s">
        <v>239</v>
      </c>
      <c r="C37" s="8" t="s">
        <v>240</v>
      </c>
      <c r="D37" s="8" t="s">
        <v>25</v>
      </c>
      <c r="E37" s="8" t="s">
        <v>26</v>
      </c>
      <c r="F37" s="8"/>
      <c r="G37" s="8" t="s">
        <v>25</v>
      </c>
      <c r="H37" s="8" t="s">
        <v>27</v>
      </c>
      <c r="I37" s="8"/>
      <c r="J37" s="8"/>
      <c r="K37" s="8"/>
      <c r="L37" s="8" t="s">
        <v>25</v>
      </c>
      <c r="M37" s="8" t="s">
        <v>241</v>
      </c>
      <c r="N37" s="8" t="s">
        <v>242</v>
      </c>
      <c r="O37" s="8" t="s">
        <v>243</v>
      </c>
      <c r="P37" s="8" t="s">
        <v>244</v>
      </c>
      <c r="Q37" s="8"/>
      <c r="R37" s="8" t="s">
        <v>25</v>
      </c>
      <c r="S37" s="8"/>
      <c r="T37" s="8" t="s">
        <v>25</v>
      </c>
      <c r="U37" s="8"/>
      <c r="V37" s="8"/>
      <c r="W37" s="8"/>
      <c r="X37" s="8"/>
      <c r="Y37" s="8"/>
      <c r="Z37" s="8"/>
      <c r="AA37" s="8"/>
      <c r="AB37" s="8"/>
      <c r="AC37" s="8"/>
      <c r="AD37" s="8"/>
      <c r="AE37" s="8"/>
      <c r="AF37" s="8"/>
      <c r="AG37" s="8"/>
      <c r="AH37" s="8"/>
      <c r="AI37" s="8"/>
      <c r="AJ37" s="8">
        <v>45.3</v>
      </c>
      <c r="AK37" s="8"/>
      <c r="AL37" s="8"/>
      <c r="AM37" s="8"/>
      <c r="AN37" s="8"/>
      <c r="AO37" s="8"/>
      <c r="AP37" s="8"/>
      <c r="AQ37" s="8"/>
      <c r="AR37" s="8"/>
      <c r="AS37" s="8"/>
      <c r="AT37" s="8"/>
      <c r="AU37" s="8" t="s">
        <v>245</v>
      </c>
    </row>
    <row r="38" spans="1:47" ht="39.6" customHeight="1">
      <c r="A38" s="8" t="s">
        <v>246</v>
      </c>
      <c r="B38" s="8" t="s">
        <v>247</v>
      </c>
      <c r="C38" s="8" t="s">
        <v>248</v>
      </c>
      <c r="D38" s="8" t="s">
        <v>25</v>
      </c>
      <c r="E38" s="8" t="s">
        <v>26</v>
      </c>
      <c r="F38" s="8"/>
      <c r="G38" s="8" t="s">
        <v>25</v>
      </c>
      <c r="H38" s="8" t="s">
        <v>27</v>
      </c>
      <c r="I38" s="8"/>
      <c r="J38" s="8"/>
      <c r="K38" s="8"/>
      <c r="L38" s="8" t="s">
        <v>25</v>
      </c>
      <c r="M38" s="8" t="s">
        <v>249</v>
      </c>
      <c r="N38" s="8" t="s">
        <v>250</v>
      </c>
      <c r="O38" s="8" t="s">
        <v>251</v>
      </c>
      <c r="P38" s="8" t="s">
        <v>252</v>
      </c>
      <c r="Q38" s="8"/>
      <c r="R38" s="8" t="s">
        <v>253</v>
      </c>
      <c r="S38" s="8" t="s">
        <v>254</v>
      </c>
      <c r="T38" s="8" t="s">
        <v>25</v>
      </c>
      <c r="U38" s="8"/>
      <c r="V38" s="8"/>
      <c r="W38" s="8"/>
      <c r="X38" s="8"/>
      <c r="Y38" s="8"/>
      <c r="Z38" s="8"/>
      <c r="AA38" s="8"/>
      <c r="AB38" s="8"/>
      <c r="AC38" s="8"/>
      <c r="AD38" s="8"/>
      <c r="AE38" s="8"/>
      <c r="AF38" s="8"/>
      <c r="AG38" s="8"/>
      <c r="AH38" s="8"/>
      <c r="AI38" s="8"/>
      <c r="AJ38" s="8"/>
      <c r="AK38" s="8"/>
      <c r="AL38" s="8">
        <v>63.1</v>
      </c>
      <c r="AM38" s="8"/>
      <c r="AN38" s="8"/>
      <c r="AO38" s="8"/>
      <c r="AP38" s="15">
        <v>76</v>
      </c>
      <c r="AQ38" s="8"/>
      <c r="AR38" s="8"/>
      <c r="AS38" s="8"/>
      <c r="AT38" s="8"/>
      <c r="AU38" s="8" t="s">
        <v>255</v>
      </c>
    </row>
    <row r="39" spans="1:47" ht="26.4" hidden="1" customHeight="1">
      <c r="A39" s="8" t="s">
        <v>256</v>
      </c>
      <c r="B39" s="8" t="s">
        <v>257</v>
      </c>
      <c r="C39" s="8" t="s">
        <v>258</v>
      </c>
      <c r="D39" s="8" t="s">
        <v>25</v>
      </c>
      <c r="E39" s="8" t="s">
        <v>26</v>
      </c>
      <c r="F39" s="8"/>
      <c r="G39" s="8" t="s">
        <v>25</v>
      </c>
      <c r="H39" s="8" t="s">
        <v>27</v>
      </c>
      <c r="I39" s="8"/>
      <c r="J39" s="8"/>
      <c r="K39" s="8"/>
      <c r="L39" s="8" t="s">
        <v>25</v>
      </c>
      <c r="M39" s="8" t="s">
        <v>249</v>
      </c>
      <c r="N39" s="8" t="s">
        <v>250</v>
      </c>
      <c r="O39" s="8" t="s">
        <v>259</v>
      </c>
      <c r="P39" s="8" t="s">
        <v>260</v>
      </c>
      <c r="Q39" s="8"/>
      <c r="R39" s="8" t="s">
        <v>25</v>
      </c>
      <c r="S39" s="8"/>
      <c r="T39" s="8" t="s">
        <v>25</v>
      </c>
      <c r="U39" s="8"/>
      <c r="V39" s="8"/>
      <c r="W39" s="8"/>
      <c r="X39" s="8"/>
      <c r="Y39" s="8"/>
      <c r="Z39" s="8"/>
      <c r="AA39" s="8"/>
      <c r="AB39" s="8"/>
      <c r="AC39" s="8"/>
      <c r="AD39" s="8"/>
      <c r="AE39" s="8"/>
      <c r="AF39" s="8"/>
      <c r="AG39" s="8"/>
      <c r="AH39" s="8"/>
      <c r="AI39" s="8"/>
      <c r="AJ39" s="8"/>
      <c r="AK39" s="8"/>
      <c r="AL39" s="8"/>
      <c r="AM39" s="15">
        <v>47</v>
      </c>
      <c r="AN39" s="8">
        <v>52.6</v>
      </c>
      <c r="AO39" s="8">
        <v>57.1</v>
      </c>
      <c r="AP39" s="8"/>
      <c r="AQ39" s="8"/>
      <c r="AR39" s="8"/>
      <c r="AS39" s="8"/>
      <c r="AT39" s="8"/>
      <c r="AU39" s="8" t="s">
        <v>261</v>
      </c>
    </row>
    <row r="40" spans="1:47" ht="26.4" hidden="1" customHeight="1">
      <c r="A40" s="8" t="s">
        <v>262</v>
      </c>
      <c r="B40" s="8" t="s">
        <v>263</v>
      </c>
      <c r="C40" s="8" t="s">
        <v>264</v>
      </c>
      <c r="D40" s="8" t="s">
        <v>25</v>
      </c>
      <c r="E40" s="8" t="s">
        <v>26</v>
      </c>
      <c r="F40" s="8"/>
      <c r="G40" s="8" t="s">
        <v>25</v>
      </c>
      <c r="H40" s="8" t="s">
        <v>27</v>
      </c>
      <c r="I40" s="8"/>
      <c r="J40" s="8"/>
      <c r="K40" s="8"/>
      <c r="L40" s="8" t="s">
        <v>25</v>
      </c>
      <c r="M40" s="8"/>
      <c r="N40" s="8" t="s">
        <v>25</v>
      </c>
      <c r="O40" s="8" t="s">
        <v>265</v>
      </c>
      <c r="P40" s="8" t="s">
        <v>266</v>
      </c>
      <c r="Q40" s="8"/>
      <c r="R40" s="8" t="s">
        <v>267</v>
      </c>
      <c r="S40" s="8" t="s">
        <v>268</v>
      </c>
      <c r="T40" s="8" t="s">
        <v>25</v>
      </c>
      <c r="U40" s="8"/>
      <c r="V40" s="8"/>
      <c r="W40" s="8"/>
      <c r="X40" s="8"/>
      <c r="Y40" s="8"/>
      <c r="Z40" s="8"/>
      <c r="AA40" s="8"/>
      <c r="AB40" s="8"/>
      <c r="AC40" s="8"/>
      <c r="AD40" s="8"/>
      <c r="AE40" s="8"/>
      <c r="AF40" s="8"/>
      <c r="AG40" s="8"/>
      <c r="AH40" s="8"/>
      <c r="AI40" s="8"/>
      <c r="AJ40" s="8"/>
      <c r="AK40" s="8"/>
      <c r="AL40" s="8"/>
      <c r="AM40" s="8">
        <v>42.7</v>
      </c>
      <c r="AN40" s="8">
        <v>32.299999999999997</v>
      </c>
      <c r="AO40" s="8">
        <v>35.799999999999997</v>
      </c>
      <c r="AP40" s="8"/>
      <c r="AQ40" s="8">
        <v>38.1</v>
      </c>
      <c r="AR40" s="8">
        <v>38.6</v>
      </c>
      <c r="AS40" s="8"/>
      <c r="AT40" s="8"/>
      <c r="AU40" s="8" t="s">
        <v>269</v>
      </c>
    </row>
    <row r="41" spans="1:47" ht="26.4" customHeight="1">
      <c r="A41" s="8" t="s">
        <v>270</v>
      </c>
      <c r="B41" s="8" t="s">
        <v>271</v>
      </c>
      <c r="C41" s="8" t="s">
        <v>272</v>
      </c>
      <c r="D41" s="8" t="s">
        <v>25</v>
      </c>
      <c r="E41" s="8" t="s">
        <v>26</v>
      </c>
      <c r="F41" s="8"/>
      <c r="G41" s="8" t="s">
        <v>25</v>
      </c>
      <c r="H41" s="8" t="s">
        <v>27</v>
      </c>
      <c r="I41" s="8"/>
      <c r="J41" s="8"/>
      <c r="K41" s="8"/>
      <c r="L41" s="8" t="s">
        <v>25</v>
      </c>
      <c r="M41" s="8"/>
      <c r="N41" s="8" t="s">
        <v>25</v>
      </c>
      <c r="O41" s="8" t="s">
        <v>34</v>
      </c>
      <c r="P41" s="8" t="s">
        <v>273</v>
      </c>
      <c r="Q41" s="8"/>
      <c r="R41" s="8" t="s">
        <v>25</v>
      </c>
      <c r="S41" s="8"/>
      <c r="T41" s="8" t="s">
        <v>25</v>
      </c>
      <c r="U41" s="8"/>
      <c r="V41" s="8"/>
      <c r="W41" s="8"/>
      <c r="X41" s="8"/>
      <c r="Y41" s="8"/>
      <c r="Z41" s="8"/>
      <c r="AA41" s="8"/>
      <c r="AB41" s="8"/>
      <c r="AC41" s="8"/>
      <c r="AD41" s="8"/>
      <c r="AE41" s="8"/>
      <c r="AF41" s="8"/>
      <c r="AG41" s="8"/>
      <c r="AH41" s="8"/>
      <c r="AI41" s="8"/>
      <c r="AJ41" s="8"/>
      <c r="AK41" s="8"/>
      <c r="AL41" s="8"/>
      <c r="AM41" s="8">
        <v>4.5999999999999996</v>
      </c>
      <c r="AN41" s="8"/>
      <c r="AO41" s="8"/>
      <c r="AP41" s="8">
        <v>5.2</v>
      </c>
      <c r="AQ41" s="8"/>
      <c r="AR41" s="8"/>
      <c r="AS41" s="8"/>
      <c r="AT41" s="8">
        <v>5.6</v>
      </c>
      <c r="AU41" s="8" t="s">
        <v>274</v>
      </c>
    </row>
    <row r="42" spans="1:47" ht="26.4" customHeight="1">
      <c r="A42" s="8" t="s">
        <v>275</v>
      </c>
      <c r="B42" s="10" t="s">
        <v>276</v>
      </c>
      <c r="C42" s="8" t="s">
        <v>277</v>
      </c>
      <c r="D42" s="8" t="s">
        <v>25</v>
      </c>
      <c r="E42" s="8" t="s">
        <v>39</v>
      </c>
      <c r="F42" s="8"/>
      <c r="G42" s="8" t="s">
        <v>25</v>
      </c>
      <c r="H42" s="8" t="s">
        <v>27</v>
      </c>
      <c r="I42" s="8"/>
      <c r="J42" s="8"/>
      <c r="K42" s="8"/>
      <c r="L42" s="8" t="s">
        <v>25</v>
      </c>
      <c r="M42" s="8" t="s">
        <v>278</v>
      </c>
      <c r="N42" s="8" t="s">
        <v>279</v>
      </c>
      <c r="O42" s="8" t="s">
        <v>34</v>
      </c>
      <c r="P42" s="8" t="s">
        <v>280</v>
      </c>
      <c r="Q42" s="8"/>
      <c r="R42" s="8" t="s">
        <v>25</v>
      </c>
      <c r="S42" s="8"/>
      <c r="T42" s="8" t="s">
        <v>25</v>
      </c>
      <c r="U42" s="8"/>
      <c r="V42" s="8"/>
      <c r="W42" s="8"/>
      <c r="X42" s="8"/>
      <c r="Y42" s="8"/>
      <c r="Z42" s="8"/>
      <c r="AA42" s="8"/>
      <c r="AB42" s="8"/>
      <c r="AC42" s="8"/>
      <c r="AD42" s="8"/>
      <c r="AE42" s="8"/>
      <c r="AF42" s="8"/>
      <c r="AG42" s="8"/>
      <c r="AH42" s="8"/>
      <c r="AI42" s="8"/>
      <c r="AJ42" s="8"/>
      <c r="AK42" s="8"/>
      <c r="AL42" s="8"/>
      <c r="AM42" s="15">
        <v>1.01</v>
      </c>
      <c r="AN42" s="8"/>
      <c r="AO42" s="8"/>
      <c r="AP42" s="8"/>
      <c r="AQ42" s="8"/>
      <c r="AR42" s="8"/>
      <c r="AS42" s="8"/>
      <c r="AT42" s="15">
        <v>1.02</v>
      </c>
      <c r="AU42" s="8" t="s">
        <v>281</v>
      </c>
    </row>
    <row r="43" spans="1:47" ht="14.4" hidden="1" customHeight="1">
      <c r="A43" s="8" t="s">
        <v>282</v>
      </c>
      <c r="B43" s="8" t="s">
        <v>283</v>
      </c>
      <c r="C43" s="8" t="s">
        <v>284</v>
      </c>
      <c r="D43" s="8" t="s">
        <v>25</v>
      </c>
      <c r="E43" s="8" t="s">
        <v>26</v>
      </c>
      <c r="F43" s="8"/>
      <c r="G43" s="8" t="s">
        <v>25</v>
      </c>
      <c r="H43" s="8" t="s">
        <v>27</v>
      </c>
      <c r="I43" s="8"/>
      <c r="J43" s="8"/>
      <c r="K43" s="8"/>
      <c r="L43" s="8" t="s">
        <v>25</v>
      </c>
      <c r="M43" s="8"/>
      <c r="N43" s="8" t="s">
        <v>25</v>
      </c>
      <c r="O43" s="8" t="s">
        <v>285</v>
      </c>
      <c r="P43" s="8" t="s">
        <v>286</v>
      </c>
      <c r="Q43" s="8"/>
      <c r="R43" s="8" t="s">
        <v>25</v>
      </c>
      <c r="S43" s="8"/>
      <c r="T43" s="8" t="s">
        <v>25</v>
      </c>
      <c r="U43" s="8"/>
      <c r="V43" s="8"/>
      <c r="W43" s="8"/>
      <c r="X43" s="8"/>
      <c r="Y43" s="8"/>
      <c r="Z43" s="8"/>
      <c r="AA43" s="8"/>
      <c r="AB43" s="8"/>
      <c r="AC43" s="8"/>
      <c r="AD43" s="8"/>
      <c r="AE43" s="8"/>
      <c r="AF43" s="8"/>
      <c r="AG43" s="8"/>
      <c r="AH43" s="8"/>
      <c r="AI43" s="8"/>
      <c r="AJ43" s="8"/>
      <c r="AK43" s="8"/>
      <c r="AL43" s="8"/>
      <c r="AM43" s="8">
        <v>84.6</v>
      </c>
      <c r="AN43" s="8"/>
      <c r="AO43" s="8"/>
      <c r="AP43" s="8"/>
      <c r="AQ43" s="8"/>
      <c r="AR43" s="8"/>
      <c r="AS43" s="8"/>
      <c r="AT43" s="8"/>
      <c r="AU43" s="8" t="s">
        <v>287</v>
      </c>
    </row>
    <row r="44" spans="1:47" ht="26.4" hidden="1" customHeight="1">
      <c r="A44" s="8" t="s">
        <v>288</v>
      </c>
      <c r="B44" s="8" t="s">
        <v>289</v>
      </c>
      <c r="C44" s="8" t="s">
        <v>290</v>
      </c>
      <c r="D44" s="8" t="s">
        <v>25</v>
      </c>
      <c r="E44" s="8" t="s">
        <v>26</v>
      </c>
      <c r="F44" s="8"/>
      <c r="G44" s="8" t="s">
        <v>25</v>
      </c>
      <c r="H44" s="8" t="s">
        <v>27</v>
      </c>
      <c r="I44" s="8"/>
      <c r="J44" s="8"/>
      <c r="K44" s="8"/>
      <c r="L44" s="8" t="s">
        <v>25</v>
      </c>
      <c r="M44" s="8" t="s">
        <v>291</v>
      </c>
      <c r="N44" s="8" t="s">
        <v>292</v>
      </c>
      <c r="O44" s="8" t="s">
        <v>293</v>
      </c>
      <c r="P44" s="8" t="s">
        <v>294</v>
      </c>
      <c r="Q44" s="8"/>
      <c r="R44" s="8" t="s">
        <v>25</v>
      </c>
      <c r="S44" s="8"/>
      <c r="T44" s="8" t="s">
        <v>25</v>
      </c>
      <c r="U44" s="8"/>
      <c r="V44" s="8"/>
      <c r="W44" s="8"/>
      <c r="X44" s="8"/>
      <c r="Y44" s="8"/>
      <c r="Z44" s="8"/>
      <c r="AA44" s="8"/>
      <c r="AB44" s="8"/>
      <c r="AC44" s="8"/>
      <c r="AD44" s="8"/>
      <c r="AE44" s="8"/>
      <c r="AF44" s="8"/>
      <c r="AG44" s="8"/>
      <c r="AH44" s="8"/>
      <c r="AI44" s="8"/>
      <c r="AJ44" s="8"/>
      <c r="AK44" s="8"/>
      <c r="AL44" s="8">
        <v>13.1</v>
      </c>
      <c r="AM44" s="8">
        <v>32.299999999999997</v>
      </c>
      <c r="AN44" s="8">
        <v>39.799999999999997</v>
      </c>
      <c r="AO44" s="8">
        <v>46.3</v>
      </c>
      <c r="AP44" s="8"/>
      <c r="AQ44" s="8">
        <v>79.2</v>
      </c>
      <c r="AR44" s="8"/>
      <c r="AS44" s="8"/>
      <c r="AT44" s="8">
        <v>82.1</v>
      </c>
      <c r="AU44" s="8" t="s">
        <v>295</v>
      </c>
    </row>
    <row r="45" spans="1:47" ht="26.4" hidden="1" customHeight="1">
      <c r="A45" s="8" t="s">
        <v>296</v>
      </c>
      <c r="B45" s="8" t="s">
        <v>297</v>
      </c>
      <c r="C45" s="8" t="s">
        <v>298</v>
      </c>
      <c r="D45" s="8" t="s">
        <v>25</v>
      </c>
      <c r="E45" s="8" t="s">
        <v>26</v>
      </c>
      <c r="F45" s="8"/>
      <c r="G45" s="8" t="s">
        <v>25</v>
      </c>
      <c r="H45" s="8" t="s">
        <v>27</v>
      </c>
      <c r="I45" s="8"/>
      <c r="J45" s="8"/>
      <c r="K45" s="8"/>
      <c r="L45" s="8" t="s">
        <v>25</v>
      </c>
      <c r="M45" s="8" t="s">
        <v>291</v>
      </c>
      <c r="N45" s="8" t="s">
        <v>292</v>
      </c>
      <c r="O45" s="8" t="s">
        <v>293</v>
      </c>
      <c r="P45" s="8" t="s">
        <v>299</v>
      </c>
      <c r="Q45" s="8"/>
      <c r="R45" s="8" t="s">
        <v>25</v>
      </c>
      <c r="S45" s="8"/>
      <c r="T45" s="8" t="s">
        <v>25</v>
      </c>
      <c r="U45" s="8"/>
      <c r="V45" s="8"/>
      <c r="W45" s="8"/>
      <c r="X45" s="8"/>
      <c r="Y45" s="8"/>
      <c r="Z45" s="8"/>
      <c r="AA45" s="8"/>
      <c r="AB45" s="8"/>
      <c r="AC45" s="8"/>
      <c r="AD45" s="8"/>
      <c r="AE45" s="8"/>
      <c r="AF45" s="8"/>
      <c r="AG45" s="8"/>
      <c r="AH45" s="8"/>
      <c r="AI45" s="8"/>
      <c r="AJ45" s="8"/>
      <c r="AK45" s="8"/>
      <c r="AL45" s="8">
        <v>52.7</v>
      </c>
      <c r="AM45" s="8">
        <v>41.6</v>
      </c>
      <c r="AN45" s="8">
        <v>45.6</v>
      </c>
      <c r="AO45" s="8">
        <v>49.5</v>
      </c>
      <c r="AP45" s="8">
        <v>43.5</v>
      </c>
      <c r="AQ45" s="8">
        <v>52.4</v>
      </c>
      <c r="AR45" s="8"/>
      <c r="AS45" s="8"/>
      <c r="AT45" s="8">
        <v>52.6</v>
      </c>
      <c r="AU45" s="8" t="s">
        <v>295</v>
      </c>
    </row>
    <row r="46" spans="1:47" ht="26.4" customHeight="1">
      <c r="A46" s="8" t="s">
        <v>300</v>
      </c>
      <c r="B46" s="8" t="s">
        <v>301</v>
      </c>
      <c r="C46" s="8" t="s">
        <v>302</v>
      </c>
      <c r="D46" s="8" t="s">
        <v>25</v>
      </c>
      <c r="E46" s="8" t="s">
        <v>26</v>
      </c>
      <c r="F46" s="8"/>
      <c r="G46" s="8" t="s">
        <v>25</v>
      </c>
      <c r="H46" s="8" t="s">
        <v>27</v>
      </c>
      <c r="I46" s="8"/>
      <c r="J46" s="8"/>
      <c r="K46" s="8"/>
      <c r="L46" s="8" t="s">
        <v>25</v>
      </c>
      <c r="M46" s="8"/>
      <c r="N46" s="8" t="s">
        <v>25</v>
      </c>
      <c r="O46" s="8" t="s">
        <v>104</v>
      </c>
      <c r="P46" s="8" t="s">
        <v>303</v>
      </c>
      <c r="Q46" s="8"/>
      <c r="R46" s="8" t="s">
        <v>25</v>
      </c>
      <c r="S46" s="8"/>
      <c r="T46" s="8" t="s">
        <v>186</v>
      </c>
      <c r="U46" s="8" t="s">
        <v>187</v>
      </c>
      <c r="V46" s="8"/>
      <c r="W46" s="8"/>
      <c r="X46" s="8"/>
      <c r="Y46" s="8"/>
      <c r="Z46" s="8"/>
      <c r="AA46" s="8"/>
      <c r="AB46" s="8"/>
      <c r="AC46" s="8"/>
      <c r="AD46" s="8"/>
      <c r="AE46" s="8"/>
      <c r="AF46" s="8"/>
      <c r="AG46" s="8"/>
      <c r="AH46" s="8"/>
      <c r="AI46" s="8"/>
      <c r="AJ46" s="8"/>
      <c r="AK46" s="8">
        <v>17.600000000000001</v>
      </c>
      <c r="AL46" s="8"/>
      <c r="AM46" s="8"/>
      <c r="AN46" s="8"/>
      <c r="AO46" s="8"/>
      <c r="AP46" s="15">
        <v>30</v>
      </c>
      <c r="AQ46" s="8"/>
      <c r="AR46" s="8"/>
      <c r="AS46" s="8"/>
      <c r="AT46" s="8"/>
      <c r="AU46" s="8" t="s">
        <v>304</v>
      </c>
    </row>
    <row r="47" spans="1:47" ht="39.6" customHeight="1">
      <c r="A47" s="8" t="s">
        <v>305</v>
      </c>
      <c r="B47" s="8" t="s">
        <v>306</v>
      </c>
      <c r="C47" s="8" t="s">
        <v>307</v>
      </c>
      <c r="D47" s="8" t="s">
        <v>25</v>
      </c>
      <c r="E47" s="8" t="s">
        <v>26</v>
      </c>
      <c r="F47" s="8"/>
      <c r="G47" s="8" t="s">
        <v>25</v>
      </c>
      <c r="H47" s="8" t="s">
        <v>27</v>
      </c>
      <c r="I47" s="8"/>
      <c r="J47" s="8"/>
      <c r="K47" s="8"/>
      <c r="L47" s="8" t="s">
        <v>25</v>
      </c>
      <c r="M47" s="8"/>
      <c r="N47" s="8" t="s">
        <v>25</v>
      </c>
      <c r="O47" s="8" t="s">
        <v>104</v>
      </c>
      <c r="P47" s="8" t="s">
        <v>308</v>
      </c>
      <c r="Q47" s="8"/>
      <c r="R47" s="8" t="s">
        <v>25</v>
      </c>
      <c r="S47" s="8"/>
      <c r="T47" s="8" t="s">
        <v>25</v>
      </c>
      <c r="U47" s="8"/>
      <c r="V47" s="8"/>
      <c r="W47" s="8"/>
      <c r="X47" s="8"/>
      <c r="Y47" s="8"/>
      <c r="Z47" s="8"/>
      <c r="AA47" s="8"/>
      <c r="AB47" s="8"/>
      <c r="AC47" s="8"/>
      <c r="AD47" s="8"/>
      <c r="AE47" s="8"/>
      <c r="AF47" s="8"/>
      <c r="AG47" s="8"/>
      <c r="AH47" s="8"/>
      <c r="AI47" s="8"/>
      <c r="AJ47" s="8"/>
      <c r="AK47" s="8">
        <v>7.6</v>
      </c>
      <c r="AL47" s="8"/>
      <c r="AM47" s="8"/>
      <c r="AN47" s="8"/>
      <c r="AO47" s="8"/>
      <c r="AP47" s="8">
        <v>8.6</v>
      </c>
      <c r="AQ47" s="8"/>
      <c r="AR47" s="8"/>
      <c r="AS47" s="8"/>
      <c r="AT47" s="8"/>
      <c r="AU47" s="8" t="s">
        <v>309</v>
      </c>
    </row>
    <row r="48" spans="1:47" ht="26.4" customHeight="1">
      <c r="A48" s="8" t="s">
        <v>310</v>
      </c>
      <c r="B48" s="8" t="s">
        <v>311</v>
      </c>
      <c r="C48" s="8" t="s">
        <v>312</v>
      </c>
      <c r="D48" s="8" t="s">
        <v>25</v>
      </c>
      <c r="E48" s="8" t="s">
        <v>26</v>
      </c>
      <c r="F48" s="8"/>
      <c r="G48" s="8" t="s">
        <v>25</v>
      </c>
      <c r="H48" s="8" t="s">
        <v>27</v>
      </c>
      <c r="I48" s="8"/>
      <c r="J48" s="8"/>
      <c r="K48" s="8"/>
      <c r="L48" s="8" t="s">
        <v>25</v>
      </c>
      <c r="M48" s="8"/>
      <c r="N48" s="8" t="s">
        <v>25</v>
      </c>
      <c r="O48" s="8" t="s">
        <v>104</v>
      </c>
      <c r="P48" s="8" t="s">
        <v>313</v>
      </c>
      <c r="Q48" s="8"/>
      <c r="R48" s="8" t="s">
        <v>314</v>
      </c>
      <c r="S48" s="8" t="s">
        <v>315</v>
      </c>
      <c r="T48" s="8" t="s">
        <v>186</v>
      </c>
      <c r="U48" s="8" t="s">
        <v>187</v>
      </c>
      <c r="V48" s="8"/>
      <c r="W48" s="8"/>
      <c r="X48" s="8"/>
      <c r="Y48" s="8"/>
      <c r="Z48" s="8"/>
      <c r="AA48" s="8"/>
      <c r="AB48" s="8"/>
      <c r="AC48" s="8"/>
      <c r="AD48" s="8"/>
      <c r="AE48" s="8"/>
      <c r="AF48" s="8"/>
      <c r="AG48" s="8"/>
      <c r="AH48" s="8"/>
      <c r="AI48" s="8"/>
      <c r="AJ48" s="8"/>
      <c r="AK48" s="8">
        <v>0.4</v>
      </c>
      <c r="AL48" s="8"/>
      <c r="AM48" s="8"/>
      <c r="AN48" s="8"/>
      <c r="AO48" s="8"/>
      <c r="AP48" s="8">
        <v>0.3</v>
      </c>
      <c r="AQ48" s="8"/>
      <c r="AR48" s="8"/>
      <c r="AS48" s="8"/>
      <c r="AT48" s="8"/>
      <c r="AU48" s="8" t="s">
        <v>316</v>
      </c>
    </row>
    <row r="49" spans="1:47" ht="52.8" customHeight="1">
      <c r="A49" s="8" t="s">
        <v>317</v>
      </c>
      <c r="B49" s="11" t="s">
        <v>318</v>
      </c>
      <c r="C49" s="8" t="s">
        <v>319</v>
      </c>
      <c r="D49" s="8" t="s">
        <v>25</v>
      </c>
      <c r="E49" s="8" t="s">
        <v>57</v>
      </c>
      <c r="F49" s="8"/>
      <c r="G49" s="8" t="s">
        <v>25</v>
      </c>
      <c r="H49" s="8" t="s">
        <v>27</v>
      </c>
      <c r="I49" s="8"/>
      <c r="J49" s="8"/>
      <c r="K49" s="8"/>
      <c r="L49" s="8" t="s">
        <v>25</v>
      </c>
      <c r="M49" s="8"/>
      <c r="N49" s="8" t="s">
        <v>25</v>
      </c>
      <c r="O49" s="8" t="s">
        <v>320</v>
      </c>
      <c r="P49" s="8" t="s">
        <v>321</v>
      </c>
      <c r="Q49" s="8"/>
      <c r="R49" s="8" t="s">
        <v>25</v>
      </c>
      <c r="S49" s="8"/>
      <c r="T49" s="8" t="s">
        <v>25</v>
      </c>
      <c r="U49" s="8"/>
      <c r="V49" s="8"/>
      <c r="W49" s="8"/>
      <c r="X49" s="8"/>
      <c r="Y49" s="8"/>
      <c r="Z49" s="8"/>
      <c r="AA49" s="8"/>
      <c r="AB49" s="8"/>
      <c r="AC49" s="8"/>
      <c r="AD49" s="8"/>
      <c r="AE49" s="8"/>
      <c r="AF49" s="8"/>
      <c r="AG49" s="8"/>
      <c r="AH49" s="8"/>
      <c r="AI49" s="8"/>
      <c r="AJ49" s="8"/>
      <c r="AK49" s="8"/>
      <c r="AL49" s="8"/>
      <c r="AM49" s="8">
        <v>21.4</v>
      </c>
      <c r="AN49" s="8">
        <v>20.6</v>
      </c>
      <c r="AO49" s="8">
        <v>17.899999999999999</v>
      </c>
      <c r="AP49" s="8"/>
      <c r="AQ49" s="8">
        <v>17.899999999999999</v>
      </c>
      <c r="AR49" s="8">
        <v>17.3</v>
      </c>
      <c r="AS49" s="8">
        <v>19.5</v>
      </c>
      <c r="AT49" s="8">
        <v>17.7</v>
      </c>
      <c r="AU49" s="8" t="s">
        <v>322</v>
      </c>
    </row>
    <row r="50" spans="1:47" ht="26.4" hidden="1" customHeight="1">
      <c r="A50" s="8" t="s">
        <v>323</v>
      </c>
      <c r="B50" s="8" t="s">
        <v>324</v>
      </c>
      <c r="C50" s="8" t="s">
        <v>325</v>
      </c>
      <c r="D50" s="8" t="s">
        <v>25</v>
      </c>
      <c r="E50" s="8" t="s">
        <v>26</v>
      </c>
      <c r="F50" s="8"/>
      <c r="G50" s="8" t="s">
        <v>25</v>
      </c>
      <c r="H50" s="8" t="s">
        <v>27</v>
      </c>
      <c r="I50" s="8"/>
      <c r="J50" s="8"/>
      <c r="K50" s="8"/>
      <c r="L50" s="8" t="s">
        <v>25</v>
      </c>
      <c r="M50" s="8"/>
      <c r="N50" s="8" t="s">
        <v>25</v>
      </c>
      <c r="O50" s="8" t="s">
        <v>326</v>
      </c>
      <c r="P50" s="8" t="s">
        <v>327</v>
      </c>
      <c r="Q50" s="8" t="s">
        <v>328</v>
      </c>
      <c r="R50" s="8" t="s">
        <v>25</v>
      </c>
      <c r="S50" s="8"/>
      <c r="T50" s="8" t="s">
        <v>25</v>
      </c>
      <c r="U50" s="8"/>
      <c r="V50" s="8"/>
      <c r="W50" s="8"/>
      <c r="X50" s="8"/>
      <c r="Y50" s="8"/>
      <c r="Z50" s="8"/>
      <c r="AA50" s="8"/>
      <c r="AB50" s="8"/>
      <c r="AC50" s="8"/>
      <c r="AD50" s="8"/>
      <c r="AE50" s="8"/>
      <c r="AF50" s="8"/>
      <c r="AG50" s="8"/>
      <c r="AH50" s="8"/>
      <c r="AI50" s="8"/>
      <c r="AJ50" s="8">
        <v>56.4</v>
      </c>
      <c r="AK50" s="8"/>
      <c r="AL50" s="15">
        <v>64</v>
      </c>
      <c r="AM50" s="8"/>
      <c r="AN50" s="15">
        <v>61</v>
      </c>
      <c r="AO50" s="8">
        <v>61.3</v>
      </c>
      <c r="AP50" s="8">
        <v>61.3</v>
      </c>
      <c r="AQ50" s="8">
        <v>61.3</v>
      </c>
      <c r="AR50" s="8">
        <v>61.3</v>
      </c>
      <c r="AS50" s="15">
        <v>61</v>
      </c>
      <c r="AT50" s="15">
        <v>63.75</v>
      </c>
      <c r="AU50" s="8" t="s">
        <v>329</v>
      </c>
    </row>
    <row r="51" spans="1:47" ht="39.6" customHeight="1">
      <c r="A51" s="8" t="s">
        <v>330</v>
      </c>
      <c r="B51" s="11" t="s">
        <v>331</v>
      </c>
      <c r="C51" s="8" t="s">
        <v>332</v>
      </c>
      <c r="D51" s="8" t="s">
        <v>25</v>
      </c>
      <c r="E51" s="8" t="s">
        <v>26</v>
      </c>
      <c r="F51" s="8"/>
      <c r="G51" s="8" t="s">
        <v>25</v>
      </c>
      <c r="H51" s="8" t="s">
        <v>27</v>
      </c>
      <c r="I51" s="8"/>
      <c r="J51" s="8"/>
      <c r="K51" s="8"/>
      <c r="L51" s="8" t="s">
        <v>25</v>
      </c>
      <c r="M51" s="8"/>
      <c r="N51" s="8" t="s">
        <v>25</v>
      </c>
      <c r="O51" s="8" t="s">
        <v>320</v>
      </c>
      <c r="P51" s="8" t="s">
        <v>333</v>
      </c>
      <c r="Q51" s="8"/>
      <c r="R51" s="8" t="s">
        <v>25</v>
      </c>
      <c r="S51" s="8"/>
      <c r="T51" s="8" t="s">
        <v>186</v>
      </c>
      <c r="U51" s="8" t="s">
        <v>187</v>
      </c>
      <c r="V51" s="8"/>
      <c r="W51" s="8"/>
      <c r="X51" s="8"/>
      <c r="Y51" s="8"/>
      <c r="Z51" s="8"/>
      <c r="AA51" s="8"/>
      <c r="AB51" s="8"/>
      <c r="AC51" s="8"/>
      <c r="AD51" s="8"/>
      <c r="AE51" s="8"/>
      <c r="AF51" s="8"/>
      <c r="AG51" s="8"/>
      <c r="AH51" s="8"/>
      <c r="AI51" s="8"/>
      <c r="AJ51" s="8"/>
      <c r="AK51" s="8"/>
      <c r="AL51" s="8">
        <v>26.9</v>
      </c>
      <c r="AM51" s="8">
        <v>29.5</v>
      </c>
      <c r="AN51" s="8">
        <v>34.1</v>
      </c>
      <c r="AO51" s="8">
        <v>32.5</v>
      </c>
      <c r="AP51" s="8"/>
      <c r="AQ51" s="8">
        <v>34.799999999999997</v>
      </c>
      <c r="AR51" s="8">
        <v>26.1</v>
      </c>
      <c r="AS51" s="8">
        <v>39.6</v>
      </c>
      <c r="AT51" s="8"/>
      <c r="AU51" s="8" t="s">
        <v>334</v>
      </c>
    </row>
    <row r="52" spans="1:47" ht="52.8" customHeight="1">
      <c r="A52" s="8" t="s">
        <v>335</v>
      </c>
      <c r="B52" s="8" t="s">
        <v>336</v>
      </c>
      <c r="C52" s="8" t="s">
        <v>337</v>
      </c>
      <c r="D52" s="8" t="s">
        <v>25</v>
      </c>
      <c r="E52" s="8" t="s">
        <v>26</v>
      </c>
      <c r="F52" s="8"/>
      <c r="G52" s="8" t="s">
        <v>25</v>
      </c>
      <c r="H52" s="8" t="s">
        <v>27</v>
      </c>
      <c r="I52" s="8"/>
      <c r="J52" s="8"/>
      <c r="K52" s="8"/>
      <c r="L52" s="8" t="s">
        <v>25</v>
      </c>
      <c r="M52" s="8"/>
      <c r="N52" s="8" t="s">
        <v>25</v>
      </c>
      <c r="O52" s="8" t="s">
        <v>104</v>
      </c>
      <c r="P52" s="8" t="s">
        <v>338</v>
      </c>
      <c r="Q52" s="8"/>
      <c r="R52" s="8" t="s">
        <v>25</v>
      </c>
      <c r="S52" s="8"/>
      <c r="T52" s="8" t="s">
        <v>186</v>
      </c>
      <c r="U52" s="8" t="s">
        <v>187</v>
      </c>
      <c r="V52" s="8"/>
      <c r="W52" s="8"/>
      <c r="X52" s="8"/>
      <c r="Y52" s="8"/>
      <c r="Z52" s="8"/>
      <c r="AA52" s="8"/>
      <c r="AB52" s="8"/>
      <c r="AC52" s="8"/>
      <c r="AD52" s="8"/>
      <c r="AE52" s="8"/>
      <c r="AF52" s="8"/>
      <c r="AG52" s="8"/>
      <c r="AH52" s="8"/>
      <c r="AI52" s="8"/>
      <c r="AJ52" s="8"/>
      <c r="AK52" s="8"/>
      <c r="AL52" s="8"/>
      <c r="AM52" s="8"/>
      <c r="AN52" s="8"/>
      <c r="AO52" s="8"/>
      <c r="AP52" s="8">
        <v>63.1</v>
      </c>
      <c r="AQ52" s="8"/>
      <c r="AR52" s="8"/>
      <c r="AS52" s="8"/>
      <c r="AT52" s="8"/>
      <c r="AU52" s="8" t="s">
        <v>339</v>
      </c>
    </row>
    <row r="53" spans="1:47" ht="14.4" hidden="1" customHeight="1">
      <c r="A53" s="8" t="s">
        <v>340</v>
      </c>
      <c r="B53" s="8" t="s">
        <v>341</v>
      </c>
      <c r="C53" s="8" t="s">
        <v>342</v>
      </c>
      <c r="D53" s="8" t="s">
        <v>25</v>
      </c>
      <c r="E53" s="8" t="s">
        <v>26</v>
      </c>
      <c r="F53" s="8"/>
      <c r="G53" s="8" t="s">
        <v>25</v>
      </c>
      <c r="H53" s="8" t="s">
        <v>27</v>
      </c>
      <c r="I53" s="8"/>
      <c r="J53" s="8"/>
      <c r="K53" s="8"/>
      <c r="L53" s="8" t="s">
        <v>25</v>
      </c>
      <c r="M53" s="8"/>
      <c r="N53" s="8" t="s">
        <v>25</v>
      </c>
      <c r="O53" s="8" t="s">
        <v>343</v>
      </c>
      <c r="P53" s="8" t="s">
        <v>344</v>
      </c>
      <c r="Q53" s="8"/>
      <c r="R53" s="8" t="s">
        <v>25</v>
      </c>
      <c r="S53" s="8"/>
      <c r="T53" s="8" t="s">
        <v>186</v>
      </c>
      <c r="U53" s="8" t="s">
        <v>187</v>
      </c>
      <c r="V53" s="8"/>
      <c r="W53" s="8"/>
      <c r="X53" s="8"/>
      <c r="Y53" s="8"/>
      <c r="Z53" s="8"/>
      <c r="AA53" s="8"/>
      <c r="AB53" s="8"/>
      <c r="AC53" s="8"/>
      <c r="AD53" s="8"/>
      <c r="AE53" s="8"/>
      <c r="AF53" s="8"/>
      <c r="AG53" s="8"/>
      <c r="AH53" s="8"/>
      <c r="AI53" s="8"/>
      <c r="AJ53" s="8"/>
      <c r="AK53" s="8"/>
      <c r="AL53" s="8"/>
      <c r="AM53" s="8"/>
      <c r="AN53" s="8"/>
      <c r="AO53" s="8">
        <v>25</v>
      </c>
      <c r="AP53" s="8"/>
      <c r="AQ53" s="8"/>
      <c r="AR53" s="8"/>
      <c r="AS53" s="8"/>
      <c r="AT53" s="8"/>
      <c r="AU53" s="8" t="s">
        <v>345</v>
      </c>
    </row>
    <row r="54" spans="1:47" ht="26.4" hidden="1" customHeight="1">
      <c r="A54" s="8" t="s">
        <v>346</v>
      </c>
      <c r="B54" s="8" t="s">
        <v>347</v>
      </c>
      <c r="C54" s="8" t="s">
        <v>348</v>
      </c>
      <c r="D54" s="8" t="s">
        <v>25</v>
      </c>
      <c r="E54" s="8" t="s">
        <v>26</v>
      </c>
      <c r="F54" s="8"/>
      <c r="G54" s="8" t="s">
        <v>25</v>
      </c>
      <c r="H54" s="8" t="s">
        <v>27</v>
      </c>
      <c r="I54" s="8"/>
      <c r="J54" s="8"/>
      <c r="K54" s="8"/>
      <c r="L54" s="8" t="s">
        <v>25</v>
      </c>
      <c r="M54" s="8"/>
      <c r="N54" s="8" t="s">
        <v>25</v>
      </c>
      <c r="O54" s="8" t="s">
        <v>349</v>
      </c>
      <c r="P54" s="8" t="s">
        <v>350</v>
      </c>
      <c r="Q54" s="8"/>
      <c r="R54" s="8" t="s">
        <v>25</v>
      </c>
      <c r="S54" s="8"/>
      <c r="T54" s="8" t="s">
        <v>25</v>
      </c>
      <c r="U54" s="8"/>
      <c r="V54" s="8"/>
      <c r="W54" s="8"/>
      <c r="X54" s="8"/>
      <c r="Y54" s="8"/>
      <c r="Z54" s="8"/>
      <c r="AA54" s="8"/>
      <c r="AB54" s="8"/>
      <c r="AC54" s="8"/>
      <c r="AD54" s="8"/>
      <c r="AE54" s="8"/>
      <c r="AF54" s="8"/>
      <c r="AG54" s="8"/>
      <c r="AH54" s="8"/>
      <c r="AI54" s="8"/>
      <c r="AJ54" s="8"/>
      <c r="AK54" s="8"/>
      <c r="AL54" s="8"/>
      <c r="AM54" s="8">
        <v>36.700000000000003</v>
      </c>
      <c r="AN54" s="8"/>
      <c r="AO54" s="8"/>
      <c r="AP54" s="8">
        <v>54.8</v>
      </c>
      <c r="AQ54" s="8"/>
      <c r="AR54" s="8">
        <v>58.6</v>
      </c>
      <c r="AS54" s="8"/>
      <c r="AT54" s="15">
        <v>85</v>
      </c>
      <c r="AU54" s="8" t="s">
        <v>351</v>
      </c>
    </row>
    <row r="55" spans="1:47" ht="26.4" hidden="1" customHeight="1">
      <c r="A55" s="8" t="s">
        <v>352</v>
      </c>
      <c r="B55" s="8" t="s">
        <v>353</v>
      </c>
      <c r="C55" s="8" t="s">
        <v>354</v>
      </c>
      <c r="D55" s="8" t="s">
        <v>25</v>
      </c>
      <c r="E55" s="8" t="s">
        <v>26</v>
      </c>
      <c r="F55" s="8"/>
      <c r="G55" s="8" t="s">
        <v>25</v>
      </c>
      <c r="H55" s="8" t="s">
        <v>27</v>
      </c>
      <c r="I55" s="8"/>
      <c r="J55" s="8"/>
      <c r="K55" s="8"/>
      <c r="L55" s="8" t="s">
        <v>25</v>
      </c>
      <c r="M55" s="8"/>
      <c r="N55" s="8" t="s">
        <v>25</v>
      </c>
      <c r="O55" s="8" t="s">
        <v>355</v>
      </c>
      <c r="P55" s="8" t="s">
        <v>356</v>
      </c>
      <c r="Q55" s="8"/>
      <c r="R55" s="8" t="s">
        <v>25</v>
      </c>
      <c r="S55" s="8"/>
      <c r="T55" s="8" t="s">
        <v>25</v>
      </c>
      <c r="U55" s="8"/>
      <c r="V55" s="8"/>
      <c r="W55" s="8"/>
      <c r="X55" s="8"/>
      <c r="Y55" s="8"/>
      <c r="Z55" s="8"/>
      <c r="AA55" s="8"/>
      <c r="AB55" s="8"/>
      <c r="AC55" s="8"/>
      <c r="AD55" s="8"/>
      <c r="AE55" s="8"/>
      <c r="AF55" s="8">
        <v>74</v>
      </c>
      <c r="AG55" s="8"/>
      <c r="AH55" s="8"/>
      <c r="AI55" s="8"/>
      <c r="AJ55" s="8"/>
      <c r="AK55" s="8">
        <v>73</v>
      </c>
      <c r="AL55" s="8"/>
      <c r="AM55" s="8"/>
      <c r="AN55" s="8"/>
      <c r="AO55" s="8"/>
      <c r="AP55" s="8">
        <v>80</v>
      </c>
      <c r="AQ55" s="8"/>
      <c r="AR55" s="8">
        <v>82</v>
      </c>
      <c r="AS55" s="8"/>
      <c r="AT55" s="8"/>
      <c r="AU55" s="8" t="s">
        <v>357</v>
      </c>
    </row>
    <row r="56" spans="1:47" ht="26.4" hidden="1" customHeight="1">
      <c r="A56" s="8" t="s">
        <v>358</v>
      </c>
      <c r="B56" s="8" t="s">
        <v>359</v>
      </c>
      <c r="C56" s="8" t="s">
        <v>360</v>
      </c>
      <c r="D56" s="8" t="s">
        <v>25</v>
      </c>
      <c r="E56" s="8" t="s">
        <v>26</v>
      </c>
      <c r="F56" s="8"/>
      <c r="G56" s="8" t="s">
        <v>25</v>
      </c>
      <c r="H56" s="8" t="s">
        <v>27</v>
      </c>
      <c r="I56" s="8"/>
      <c r="J56" s="8"/>
      <c r="K56" s="8"/>
      <c r="L56" s="8" t="s">
        <v>25</v>
      </c>
      <c r="M56" s="8"/>
      <c r="N56" s="8" t="s">
        <v>25</v>
      </c>
      <c r="O56" s="8" t="s">
        <v>355</v>
      </c>
      <c r="P56" s="8" t="s">
        <v>361</v>
      </c>
      <c r="Q56" s="8"/>
      <c r="R56" s="8" t="s">
        <v>25</v>
      </c>
      <c r="S56" s="8"/>
      <c r="T56" s="8" t="s">
        <v>25</v>
      </c>
      <c r="U56" s="8"/>
      <c r="V56" s="8"/>
      <c r="W56" s="8"/>
      <c r="X56" s="8"/>
      <c r="Y56" s="8"/>
      <c r="Z56" s="8"/>
      <c r="AA56" s="8"/>
      <c r="AB56" s="8"/>
      <c r="AC56" s="8"/>
      <c r="AD56" s="8"/>
      <c r="AE56" s="8"/>
      <c r="AF56" s="8">
        <v>55</v>
      </c>
      <c r="AG56" s="8"/>
      <c r="AH56" s="8"/>
      <c r="AI56" s="8"/>
      <c r="AJ56" s="8"/>
      <c r="AK56" s="8">
        <v>54</v>
      </c>
      <c r="AL56" s="8"/>
      <c r="AM56" s="8"/>
      <c r="AN56" s="8"/>
      <c r="AO56" s="8"/>
      <c r="AP56" s="8">
        <v>72</v>
      </c>
      <c r="AQ56" s="8"/>
      <c r="AR56" s="8">
        <v>72</v>
      </c>
      <c r="AS56" s="8"/>
      <c r="AT56" s="8"/>
      <c r="AU56" s="8" t="s">
        <v>357</v>
      </c>
    </row>
    <row r="57" spans="1:47" ht="14.4" hidden="1" customHeight="1">
      <c r="A57" s="8" t="s">
        <v>362</v>
      </c>
      <c r="B57" s="8" t="s">
        <v>363</v>
      </c>
      <c r="C57" s="8" t="s">
        <v>364</v>
      </c>
      <c r="D57" s="8" t="s">
        <v>25</v>
      </c>
      <c r="E57" s="8" t="s">
        <v>26</v>
      </c>
      <c r="F57" s="8"/>
      <c r="G57" s="8" t="s">
        <v>25</v>
      </c>
      <c r="H57" s="8" t="s">
        <v>27</v>
      </c>
      <c r="I57" s="8"/>
      <c r="J57" s="8"/>
      <c r="K57" s="8"/>
      <c r="L57" s="8" t="s">
        <v>25</v>
      </c>
      <c r="M57" s="8"/>
      <c r="N57" s="8" t="s">
        <v>25</v>
      </c>
      <c r="O57" s="8" t="s">
        <v>365</v>
      </c>
      <c r="P57" s="8" t="s">
        <v>366</v>
      </c>
      <c r="Q57" s="8"/>
      <c r="R57" s="8" t="s">
        <v>25</v>
      </c>
      <c r="S57" s="8"/>
      <c r="T57" s="8" t="s">
        <v>25</v>
      </c>
      <c r="U57" s="8"/>
      <c r="V57" s="8"/>
      <c r="W57" s="8"/>
      <c r="X57" s="8"/>
      <c r="Y57" s="8"/>
      <c r="Z57" s="8"/>
      <c r="AA57" s="8"/>
      <c r="AB57" s="8"/>
      <c r="AC57" s="8"/>
      <c r="AD57" s="8"/>
      <c r="AE57" s="8"/>
      <c r="AF57" s="8"/>
      <c r="AG57" s="8"/>
      <c r="AH57" s="8"/>
      <c r="AI57" s="8"/>
      <c r="AJ57" s="8"/>
      <c r="AK57" s="8"/>
      <c r="AL57" s="8"/>
      <c r="AM57" s="8">
        <v>79</v>
      </c>
      <c r="AN57" s="8">
        <v>15</v>
      </c>
      <c r="AO57" s="8"/>
      <c r="AP57" s="8">
        <v>79</v>
      </c>
      <c r="AQ57" s="8"/>
      <c r="AR57" s="8"/>
      <c r="AS57" s="8"/>
      <c r="AT57" s="8"/>
      <c r="AU57" s="8" t="s">
        <v>367</v>
      </c>
    </row>
    <row r="58" spans="1:47" ht="14.4" hidden="1" customHeight="1">
      <c r="A58" s="8" t="s">
        <v>368</v>
      </c>
      <c r="B58" s="8" t="s">
        <v>369</v>
      </c>
      <c r="C58" s="8" t="s">
        <v>370</v>
      </c>
      <c r="D58" s="8" t="s">
        <v>25</v>
      </c>
      <c r="E58" s="8" t="s">
        <v>371</v>
      </c>
      <c r="F58" s="8"/>
      <c r="G58" s="8" t="s">
        <v>25</v>
      </c>
      <c r="H58" s="8" t="s">
        <v>27</v>
      </c>
      <c r="I58" s="8"/>
      <c r="J58" s="8"/>
      <c r="K58" s="8"/>
      <c r="L58" s="8" t="s">
        <v>25</v>
      </c>
      <c r="M58" s="8"/>
      <c r="N58" s="8" t="s">
        <v>25</v>
      </c>
      <c r="O58" s="8" t="s">
        <v>365</v>
      </c>
      <c r="P58" s="8" t="s">
        <v>372</v>
      </c>
      <c r="Q58" s="8"/>
      <c r="R58" s="8" t="s">
        <v>25</v>
      </c>
      <c r="S58" s="8"/>
      <c r="T58" s="8" t="s">
        <v>25</v>
      </c>
      <c r="U58" s="8"/>
      <c r="V58" s="8"/>
      <c r="W58" s="8"/>
      <c r="X58" s="8"/>
      <c r="Y58" s="8"/>
      <c r="Z58" s="8"/>
      <c r="AA58" s="8"/>
      <c r="AB58" s="8"/>
      <c r="AC58" s="8"/>
      <c r="AD58" s="8"/>
      <c r="AE58" s="8"/>
      <c r="AF58" s="8"/>
      <c r="AG58" s="8"/>
      <c r="AH58" s="8"/>
      <c r="AI58" s="8"/>
      <c r="AJ58" s="8"/>
      <c r="AK58" s="8"/>
      <c r="AL58" s="8"/>
      <c r="AM58" s="8"/>
      <c r="AN58" s="8"/>
      <c r="AO58" s="8"/>
      <c r="AP58" s="15">
        <v>12.87</v>
      </c>
      <c r="AQ58" s="8"/>
      <c r="AR58" s="8"/>
      <c r="AS58" s="8"/>
      <c r="AT58" s="8"/>
      <c r="AU58" s="8" t="s">
        <v>367</v>
      </c>
    </row>
    <row r="59" spans="1:47" ht="14.4" hidden="1" customHeight="1">
      <c r="A59" s="8" t="s">
        <v>373</v>
      </c>
      <c r="B59" s="8" t="s">
        <v>374</v>
      </c>
      <c r="C59" s="8" t="s">
        <v>375</v>
      </c>
      <c r="D59" s="8" t="s">
        <v>25</v>
      </c>
      <c r="E59" s="8" t="s">
        <v>26</v>
      </c>
      <c r="F59" s="8"/>
      <c r="G59" s="8" t="s">
        <v>25</v>
      </c>
      <c r="H59" s="8" t="s">
        <v>27</v>
      </c>
      <c r="I59" s="8"/>
      <c r="J59" s="8"/>
      <c r="K59" s="8"/>
      <c r="L59" s="8" t="s">
        <v>25</v>
      </c>
      <c r="M59" s="8"/>
      <c r="N59" s="8" t="s">
        <v>25</v>
      </c>
      <c r="O59" s="8" t="s">
        <v>365</v>
      </c>
      <c r="P59" s="8" t="s">
        <v>374</v>
      </c>
      <c r="Q59" s="8"/>
      <c r="R59" s="8" t="s">
        <v>25</v>
      </c>
      <c r="S59" s="8"/>
      <c r="T59" s="8" t="s">
        <v>25</v>
      </c>
      <c r="U59" s="8"/>
      <c r="V59" s="8"/>
      <c r="W59" s="8"/>
      <c r="X59" s="8"/>
      <c r="Y59" s="8"/>
      <c r="Z59" s="8"/>
      <c r="AA59" s="8"/>
      <c r="AB59" s="8"/>
      <c r="AC59" s="8"/>
      <c r="AD59" s="8"/>
      <c r="AE59" s="8"/>
      <c r="AF59" s="8"/>
      <c r="AG59" s="8"/>
      <c r="AH59" s="8"/>
      <c r="AI59" s="8"/>
      <c r="AJ59" s="8"/>
      <c r="AK59" s="8"/>
      <c r="AL59" s="8"/>
      <c r="AM59" s="8"/>
      <c r="AN59" s="15">
        <v>9</v>
      </c>
      <c r="AO59" s="8"/>
      <c r="AP59" s="15">
        <v>11.17</v>
      </c>
      <c r="AQ59" s="8"/>
      <c r="AR59" s="8"/>
      <c r="AS59" s="8"/>
      <c r="AT59" s="8"/>
      <c r="AU59" s="8" t="s">
        <v>367</v>
      </c>
    </row>
    <row r="60" spans="1:47" ht="14.4" hidden="1" customHeight="1">
      <c r="A60" s="8" t="s">
        <v>376</v>
      </c>
      <c r="B60" s="8" t="s">
        <v>377</v>
      </c>
      <c r="C60" s="8" t="s">
        <v>378</v>
      </c>
      <c r="D60" s="8" t="s">
        <v>25</v>
      </c>
      <c r="E60" s="8" t="s">
        <v>26</v>
      </c>
      <c r="F60" s="8"/>
      <c r="G60" s="8" t="s">
        <v>25</v>
      </c>
      <c r="H60" s="8" t="s">
        <v>27</v>
      </c>
      <c r="I60" s="8"/>
      <c r="J60" s="8"/>
      <c r="K60" s="8"/>
      <c r="L60" s="8" t="s">
        <v>25</v>
      </c>
      <c r="M60" s="8"/>
      <c r="N60" s="8" t="s">
        <v>25</v>
      </c>
      <c r="O60" s="8" t="s">
        <v>365</v>
      </c>
      <c r="P60" s="8" t="s">
        <v>379</v>
      </c>
      <c r="Q60" s="8"/>
      <c r="R60" s="8" t="s">
        <v>25</v>
      </c>
      <c r="S60" s="8"/>
      <c r="T60" s="8" t="s">
        <v>25</v>
      </c>
      <c r="U60" s="8"/>
      <c r="V60" s="8"/>
      <c r="W60" s="8"/>
      <c r="X60" s="8"/>
      <c r="Y60" s="8"/>
      <c r="Z60" s="8"/>
      <c r="AA60" s="8"/>
      <c r="AB60" s="8"/>
      <c r="AC60" s="8"/>
      <c r="AD60" s="8"/>
      <c r="AE60" s="8"/>
      <c r="AF60" s="8"/>
      <c r="AG60" s="8"/>
      <c r="AH60" s="8"/>
      <c r="AI60" s="8"/>
      <c r="AJ60" s="8"/>
      <c r="AK60" s="8"/>
      <c r="AL60" s="8"/>
      <c r="AM60" s="8"/>
      <c r="AN60" s="8">
        <v>50</v>
      </c>
      <c r="AO60" s="8"/>
      <c r="AP60" s="8">
        <v>66</v>
      </c>
      <c r="AQ60" s="8"/>
      <c r="AR60" s="8"/>
      <c r="AS60" s="8"/>
      <c r="AT60" s="8"/>
      <c r="AU60" s="8" t="s">
        <v>367</v>
      </c>
    </row>
    <row r="61" spans="1:47" ht="14.4" hidden="1" customHeight="1">
      <c r="A61" s="8" t="s">
        <v>380</v>
      </c>
      <c r="B61" s="8" t="s">
        <v>381</v>
      </c>
      <c r="C61" s="8" t="s">
        <v>382</v>
      </c>
      <c r="D61" s="8" t="s">
        <v>25</v>
      </c>
      <c r="E61" s="8" t="s">
        <v>26</v>
      </c>
      <c r="F61" s="8"/>
      <c r="G61" s="8" t="s">
        <v>25</v>
      </c>
      <c r="H61" s="8" t="s">
        <v>27</v>
      </c>
      <c r="I61" s="8"/>
      <c r="J61" s="8"/>
      <c r="K61" s="8"/>
      <c r="L61" s="8" t="s">
        <v>25</v>
      </c>
      <c r="M61" s="8"/>
      <c r="N61" s="8" t="s">
        <v>25</v>
      </c>
      <c r="O61" s="8" t="s">
        <v>365</v>
      </c>
      <c r="P61" s="8" t="s">
        <v>383</v>
      </c>
      <c r="Q61" s="8"/>
      <c r="R61" s="8" t="s">
        <v>25</v>
      </c>
      <c r="S61" s="8"/>
      <c r="T61" s="8" t="s">
        <v>25</v>
      </c>
      <c r="U61" s="8"/>
      <c r="V61" s="8"/>
      <c r="W61" s="8"/>
      <c r="X61" s="8"/>
      <c r="Y61" s="8"/>
      <c r="Z61" s="8"/>
      <c r="AA61" s="8"/>
      <c r="AB61" s="8"/>
      <c r="AC61" s="8"/>
      <c r="AD61" s="8"/>
      <c r="AE61" s="8"/>
      <c r="AF61" s="8"/>
      <c r="AG61" s="8"/>
      <c r="AH61" s="8"/>
      <c r="AI61" s="8"/>
      <c r="AJ61" s="8"/>
      <c r="AK61" s="8"/>
      <c r="AL61" s="8"/>
      <c r="AM61" s="8"/>
      <c r="AN61" s="8">
        <v>86</v>
      </c>
      <c r="AO61" s="8"/>
      <c r="AP61" s="8"/>
      <c r="AQ61" s="8"/>
      <c r="AR61" s="8"/>
      <c r="AS61" s="8"/>
      <c r="AT61" s="8"/>
      <c r="AU61" s="8" t="s">
        <v>367</v>
      </c>
    </row>
    <row r="62" spans="1:47" ht="14.4" hidden="1" customHeight="1">
      <c r="A62" s="8" t="s">
        <v>384</v>
      </c>
      <c r="B62" s="8" t="s">
        <v>385</v>
      </c>
      <c r="C62" s="8" t="s">
        <v>386</v>
      </c>
      <c r="D62" s="8" t="s">
        <v>25</v>
      </c>
      <c r="E62" s="8" t="s">
        <v>26</v>
      </c>
      <c r="F62" s="8"/>
      <c r="G62" s="8" t="s">
        <v>25</v>
      </c>
      <c r="H62" s="8" t="s">
        <v>27</v>
      </c>
      <c r="I62" s="8"/>
      <c r="J62" s="8"/>
      <c r="K62" s="8"/>
      <c r="L62" s="8" t="s">
        <v>25</v>
      </c>
      <c r="M62" s="8"/>
      <c r="N62" s="8" t="s">
        <v>25</v>
      </c>
      <c r="O62" s="8" t="s">
        <v>387</v>
      </c>
      <c r="P62" s="8" t="s">
        <v>388</v>
      </c>
      <c r="Q62" s="8"/>
      <c r="R62" s="8" t="s">
        <v>25</v>
      </c>
      <c r="S62" s="8"/>
      <c r="T62" s="8" t="s">
        <v>25</v>
      </c>
      <c r="U62" s="8"/>
      <c r="V62" s="8"/>
      <c r="W62" s="8"/>
      <c r="X62" s="8"/>
      <c r="Y62" s="8"/>
      <c r="Z62" s="8"/>
      <c r="AA62" s="8"/>
      <c r="AB62" s="8"/>
      <c r="AC62" s="8"/>
      <c r="AD62" s="8"/>
      <c r="AE62" s="8"/>
      <c r="AF62" s="8"/>
      <c r="AG62" s="8"/>
      <c r="AH62" s="8"/>
      <c r="AI62" s="8"/>
      <c r="AJ62" s="8"/>
      <c r="AK62" s="8"/>
      <c r="AL62" s="8">
        <v>0.9</v>
      </c>
      <c r="AM62" s="8"/>
      <c r="AN62" s="8"/>
      <c r="AO62" s="8"/>
      <c r="AP62" s="8"/>
      <c r="AQ62" s="8"/>
      <c r="AR62" s="8"/>
      <c r="AS62" s="8"/>
      <c r="AT62" s="8"/>
      <c r="AU62" s="8" t="s">
        <v>389</v>
      </c>
    </row>
    <row r="63" spans="1:47" ht="14.4" hidden="1" customHeight="1">
      <c r="A63" s="8" t="s">
        <v>390</v>
      </c>
      <c r="B63" s="8" t="s">
        <v>391</v>
      </c>
      <c r="C63" s="8" t="s">
        <v>392</v>
      </c>
      <c r="D63" s="8" t="s">
        <v>25</v>
      </c>
      <c r="E63" s="8" t="s">
        <v>26</v>
      </c>
      <c r="F63" s="8"/>
      <c r="G63" s="8" t="s">
        <v>25</v>
      </c>
      <c r="H63" s="8" t="s">
        <v>27</v>
      </c>
      <c r="I63" s="8"/>
      <c r="J63" s="8"/>
      <c r="K63" s="8"/>
      <c r="L63" s="8" t="s">
        <v>25</v>
      </c>
      <c r="M63" s="8"/>
      <c r="N63" s="8" t="s">
        <v>25</v>
      </c>
      <c r="O63" s="8" t="s">
        <v>393</v>
      </c>
      <c r="P63" s="8" t="s">
        <v>391</v>
      </c>
      <c r="Q63" s="8"/>
      <c r="R63" s="8" t="s">
        <v>25</v>
      </c>
      <c r="S63" s="8"/>
      <c r="T63" s="8" t="s">
        <v>25</v>
      </c>
      <c r="U63" s="8"/>
      <c r="V63" s="8"/>
      <c r="W63" s="8"/>
      <c r="X63" s="8"/>
      <c r="Y63" s="8"/>
      <c r="Z63" s="8"/>
      <c r="AA63" s="8"/>
      <c r="AB63" s="8"/>
      <c r="AC63" s="8"/>
      <c r="AD63" s="8"/>
      <c r="AE63" s="8"/>
      <c r="AF63" s="8">
        <v>1</v>
      </c>
      <c r="AG63" s="8">
        <v>1</v>
      </c>
      <c r="AH63" s="8">
        <v>1</v>
      </c>
      <c r="AI63" s="8">
        <v>1</v>
      </c>
      <c r="AJ63" s="8">
        <v>1</v>
      </c>
      <c r="AK63" s="8">
        <v>1</v>
      </c>
      <c r="AL63" s="8">
        <v>1</v>
      </c>
      <c r="AM63" s="8">
        <v>1</v>
      </c>
      <c r="AN63" s="8">
        <v>1</v>
      </c>
      <c r="AO63" s="8">
        <v>1</v>
      </c>
      <c r="AP63" s="8">
        <v>1</v>
      </c>
      <c r="AQ63" s="8">
        <v>1</v>
      </c>
      <c r="AR63" s="8">
        <v>1</v>
      </c>
      <c r="AS63" s="8">
        <v>1</v>
      </c>
      <c r="AT63" s="8">
        <v>1</v>
      </c>
      <c r="AU63" s="8" t="s">
        <v>394</v>
      </c>
    </row>
    <row r="64" spans="1:47" ht="26.4" hidden="1" customHeight="1">
      <c r="A64" s="8" t="s">
        <v>395</v>
      </c>
      <c r="B64" s="8" t="s">
        <v>396</v>
      </c>
      <c r="C64" s="8" t="s">
        <v>397</v>
      </c>
      <c r="D64" s="8" t="s">
        <v>25</v>
      </c>
      <c r="E64" s="8" t="s">
        <v>26</v>
      </c>
      <c r="F64" s="8"/>
      <c r="G64" s="8" t="s">
        <v>25</v>
      </c>
      <c r="H64" s="8" t="s">
        <v>27</v>
      </c>
      <c r="I64" s="8"/>
      <c r="J64" s="8"/>
      <c r="K64" s="8"/>
      <c r="L64" s="8" t="s">
        <v>25</v>
      </c>
      <c r="M64" s="8"/>
      <c r="N64" s="8" t="s">
        <v>25</v>
      </c>
      <c r="O64" s="8" t="s">
        <v>355</v>
      </c>
      <c r="P64" s="8" t="s">
        <v>398</v>
      </c>
      <c r="Q64" s="8"/>
      <c r="R64" s="8" t="s">
        <v>25</v>
      </c>
      <c r="S64" s="8"/>
      <c r="T64" s="8" t="s">
        <v>25</v>
      </c>
      <c r="U64" s="8"/>
      <c r="V64" s="8"/>
      <c r="W64" s="8"/>
      <c r="X64" s="8"/>
      <c r="Y64" s="8"/>
      <c r="Z64" s="8"/>
      <c r="AA64" s="15">
        <v>5</v>
      </c>
      <c r="AB64" s="8"/>
      <c r="AC64" s="8"/>
      <c r="AD64" s="8"/>
      <c r="AE64" s="8"/>
      <c r="AF64" s="15">
        <v>10</v>
      </c>
      <c r="AG64" s="8"/>
      <c r="AH64" s="8">
        <v>18.600000000000001</v>
      </c>
      <c r="AI64" s="8"/>
      <c r="AJ64" s="8"/>
      <c r="AK64" s="15">
        <v>23</v>
      </c>
      <c r="AL64" s="8"/>
      <c r="AM64" s="8"/>
      <c r="AN64" s="8"/>
      <c r="AO64" s="8"/>
      <c r="AP64" s="15">
        <v>46</v>
      </c>
      <c r="AQ64" s="8"/>
      <c r="AR64" s="15">
        <v>61</v>
      </c>
      <c r="AS64" s="8"/>
      <c r="AT64" s="8"/>
      <c r="AU64" s="8" t="s">
        <v>357</v>
      </c>
    </row>
    <row r="65" spans="1:47" ht="26.4" customHeight="1">
      <c r="A65" s="8" t="s">
        <v>399</v>
      </c>
      <c r="B65" s="8" t="s">
        <v>400</v>
      </c>
      <c r="C65" s="8" t="s">
        <v>401</v>
      </c>
      <c r="D65" s="8" t="s">
        <v>25</v>
      </c>
      <c r="E65" s="8" t="s">
        <v>26</v>
      </c>
      <c r="F65" s="8"/>
      <c r="G65" s="8" t="s">
        <v>25</v>
      </c>
      <c r="H65" s="8" t="s">
        <v>27</v>
      </c>
      <c r="I65" s="8"/>
      <c r="J65" s="8"/>
      <c r="K65" s="8"/>
      <c r="L65" s="8" t="s">
        <v>25</v>
      </c>
      <c r="M65" s="8"/>
      <c r="N65" s="8" t="s">
        <v>25</v>
      </c>
      <c r="O65" s="8" t="s">
        <v>34</v>
      </c>
      <c r="P65" s="8" t="s">
        <v>402</v>
      </c>
      <c r="Q65" s="8"/>
      <c r="R65" s="8" t="s">
        <v>25</v>
      </c>
      <c r="S65" s="8"/>
      <c r="T65" s="8" t="s">
        <v>25</v>
      </c>
      <c r="U65" s="8"/>
      <c r="V65" s="8"/>
      <c r="W65" s="8"/>
      <c r="X65" s="8"/>
      <c r="Y65" s="8"/>
      <c r="Z65" s="8"/>
      <c r="AA65" s="8"/>
      <c r="AB65" s="8"/>
      <c r="AC65" s="8"/>
      <c r="AD65" s="8"/>
      <c r="AE65" s="8"/>
      <c r="AF65" s="8"/>
      <c r="AG65" s="8"/>
      <c r="AH65" s="8"/>
      <c r="AI65" s="8"/>
      <c r="AJ65" s="8"/>
      <c r="AK65" s="8"/>
      <c r="AL65" s="8"/>
      <c r="AM65" s="8">
        <v>1.2</v>
      </c>
      <c r="AN65" s="8"/>
      <c r="AO65" s="8"/>
      <c r="AP65" s="8">
        <v>4.2</v>
      </c>
      <c r="AQ65" s="8"/>
      <c r="AR65" s="8"/>
      <c r="AS65" s="8"/>
      <c r="AT65" s="8">
        <v>5.4</v>
      </c>
      <c r="AU65" s="8" t="s">
        <v>403</v>
      </c>
    </row>
    <row r="66" spans="1:47" ht="14.4" hidden="1" customHeight="1">
      <c r="A66" s="8" t="s">
        <v>404</v>
      </c>
      <c r="B66" s="8" t="s">
        <v>405</v>
      </c>
      <c r="C66" s="8" t="s">
        <v>406</v>
      </c>
      <c r="D66" s="8" t="s">
        <v>25</v>
      </c>
      <c r="E66" s="8" t="s">
        <v>26</v>
      </c>
      <c r="F66" s="8"/>
      <c r="G66" s="8" t="s">
        <v>25</v>
      </c>
      <c r="H66" s="8" t="s">
        <v>27</v>
      </c>
      <c r="I66" s="8"/>
      <c r="J66" s="8"/>
      <c r="K66" s="8"/>
      <c r="L66" s="8" t="s">
        <v>25</v>
      </c>
      <c r="M66" s="8"/>
      <c r="N66" s="8" t="s">
        <v>25</v>
      </c>
      <c r="O66" s="8" t="s">
        <v>407</v>
      </c>
      <c r="P66" s="8" t="s">
        <v>408</v>
      </c>
      <c r="Q66" s="8"/>
      <c r="R66" s="8" t="s">
        <v>25</v>
      </c>
      <c r="S66" s="8"/>
      <c r="T66" s="8" t="s">
        <v>25</v>
      </c>
      <c r="U66" s="8"/>
      <c r="V66" s="8"/>
      <c r="W66" s="8"/>
      <c r="X66" s="8"/>
      <c r="Y66" s="8"/>
      <c r="Z66" s="8"/>
      <c r="AA66" s="8"/>
      <c r="AB66" s="8"/>
      <c r="AC66" s="8"/>
      <c r="AD66" s="8"/>
      <c r="AE66" s="8"/>
      <c r="AF66" s="8"/>
      <c r="AG66" s="8"/>
      <c r="AH66" s="8"/>
      <c r="AI66" s="8"/>
      <c r="AJ66" s="15">
        <v>53</v>
      </c>
      <c r="AK66" s="8"/>
      <c r="AL66" s="8"/>
      <c r="AM66" s="15">
        <v>61</v>
      </c>
      <c r="AN66" s="8"/>
      <c r="AO66" s="8"/>
      <c r="AP66" s="8">
        <v>62.3</v>
      </c>
      <c r="AQ66" s="8"/>
      <c r="AR66" s="8"/>
      <c r="AS66" s="8"/>
      <c r="AT66" s="8"/>
      <c r="AU66" s="8" t="s">
        <v>409</v>
      </c>
    </row>
    <row r="67" spans="1:47" ht="14.4" hidden="1" customHeight="1">
      <c r="A67" s="8" t="s">
        <v>410</v>
      </c>
      <c r="B67" s="8" t="s">
        <v>411</v>
      </c>
      <c r="C67" s="8" t="s">
        <v>412</v>
      </c>
      <c r="D67" s="8" t="s">
        <v>25</v>
      </c>
      <c r="E67" s="8" t="s">
        <v>413</v>
      </c>
      <c r="F67" s="8"/>
      <c r="G67" s="8" t="s">
        <v>25</v>
      </c>
      <c r="H67" s="8" t="s">
        <v>27</v>
      </c>
      <c r="I67" s="8"/>
      <c r="J67" s="8"/>
      <c r="K67" s="8"/>
      <c r="L67" s="8" t="s">
        <v>25</v>
      </c>
      <c r="M67" s="8"/>
      <c r="N67" s="8" t="s">
        <v>25</v>
      </c>
      <c r="O67" s="8" t="s">
        <v>407</v>
      </c>
      <c r="P67" s="8" t="s">
        <v>411</v>
      </c>
      <c r="Q67" s="8"/>
      <c r="R67" s="8" t="s">
        <v>25</v>
      </c>
      <c r="S67" s="8"/>
      <c r="T67" s="8" t="s">
        <v>25</v>
      </c>
      <c r="U67" s="8"/>
      <c r="V67" s="8"/>
      <c r="W67" s="8"/>
      <c r="X67" s="8"/>
      <c r="Y67" s="8"/>
      <c r="Z67" s="8"/>
      <c r="AA67" s="8"/>
      <c r="AB67" s="8"/>
      <c r="AC67" s="8"/>
      <c r="AD67" s="8"/>
      <c r="AE67" s="8"/>
      <c r="AF67" s="8"/>
      <c r="AG67" s="8"/>
      <c r="AH67" s="8"/>
      <c r="AI67" s="8"/>
      <c r="AJ67" s="8"/>
      <c r="AK67" s="8"/>
      <c r="AL67" s="8"/>
      <c r="AM67" s="8"/>
      <c r="AN67" s="8"/>
      <c r="AO67" s="8">
        <v>3.2</v>
      </c>
      <c r="AP67" s="15">
        <v>3.22</v>
      </c>
      <c r="AQ67" s="8"/>
      <c r="AR67" s="8"/>
      <c r="AS67" s="8"/>
      <c r="AT67" s="8"/>
      <c r="AU67" s="8" t="s">
        <v>409</v>
      </c>
    </row>
    <row r="68" spans="1:47" ht="52.8" customHeight="1">
      <c r="A68" s="8" t="s">
        <v>414</v>
      </c>
      <c r="B68" s="11" t="s">
        <v>415</v>
      </c>
      <c r="C68" s="8" t="s">
        <v>416</v>
      </c>
      <c r="D68" s="8" t="s">
        <v>25</v>
      </c>
      <c r="E68" s="8" t="s">
        <v>26</v>
      </c>
      <c r="F68" s="8"/>
      <c r="G68" s="8" t="s">
        <v>25</v>
      </c>
      <c r="H68" s="8" t="s">
        <v>27</v>
      </c>
      <c r="I68" s="8"/>
      <c r="J68" s="8"/>
      <c r="K68" s="8"/>
      <c r="L68" s="8" t="s">
        <v>25</v>
      </c>
      <c r="M68" s="8"/>
      <c r="N68" s="8" t="s">
        <v>25</v>
      </c>
      <c r="O68" s="8" t="s">
        <v>417</v>
      </c>
      <c r="P68" s="8" t="s">
        <v>415</v>
      </c>
      <c r="Q68" s="8"/>
      <c r="R68" s="8" t="s">
        <v>25</v>
      </c>
      <c r="S68" s="8"/>
      <c r="T68" s="8" t="s">
        <v>25</v>
      </c>
      <c r="U68" s="8"/>
      <c r="V68" s="8"/>
      <c r="W68" s="8">
        <v>5.7</v>
      </c>
      <c r="X68" s="8">
        <v>10.4</v>
      </c>
      <c r="Y68" s="8">
        <v>-0.3</v>
      </c>
      <c r="Z68" s="8">
        <v>3.7</v>
      </c>
      <c r="AA68" s="8">
        <v>6.9</v>
      </c>
      <c r="AB68" s="8">
        <v>6.8</v>
      </c>
      <c r="AC68" s="8">
        <v>5.3</v>
      </c>
      <c r="AD68" s="8">
        <v>7.6</v>
      </c>
      <c r="AE68" s="8">
        <v>4.0999999999999996</v>
      </c>
      <c r="AF68" s="8">
        <v>4.0999999999999996</v>
      </c>
      <c r="AG68" s="8">
        <v>5.8</v>
      </c>
      <c r="AH68" s="8">
        <v>5.5</v>
      </c>
      <c r="AI68" s="8">
        <v>2.8</v>
      </c>
      <c r="AJ68" s="8">
        <v>3.3</v>
      </c>
      <c r="AK68" s="15">
        <v>6</v>
      </c>
      <c r="AL68" s="8">
        <v>4.0999999999999996</v>
      </c>
      <c r="AM68" s="8">
        <v>1.3</v>
      </c>
      <c r="AN68" s="8">
        <v>5.8</v>
      </c>
      <c r="AO68" s="8">
        <v>6.8</v>
      </c>
      <c r="AP68" s="8">
        <v>-5.7</v>
      </c>
      <c r="AQ68" s="8">
        <v>8.3000000000000007</v>
      </c>
      <c r="AR68" s="8">
        <v>5.7</v>
      </c>
      <c r="AS68" s="8">
        <v>5.9</v>
      </c>
      <c r="AT68" s="8">
        <v>6.5</v>
      </c>
      <c r="AU68" s="8" t="s">
        <v>418</v>
      </c>
    </row>
    <row r="69" spans="1:47" ht="14.4" hidden="1" customHeight="1">
      <c r="A69" s="8" t="s">
        <v>419</v>
      </c>
      <c r="B69" s="8" t="s">
        <v>420</v>
      </c>
      <c r="C69" s="8" t="s">
        <v>421</v>
      </c>
      <c r="D69" s="8" t="s">
        <v>25</v>
      </c>
      <c r="E69" s="8" t="s">
        <v>26</v>
      </c>
      <c r="F69" s="8"/>
      <c r="G69" s="8" t="s">
        <v>25</v>
      </c>
      <c r="H69" s="8" t="s">
        <v>27</v>
      </c>
      <c r="I69" s="8"/>
      <c r="J69" s="8"/>
      <c r="K69" s="8"/>
      <c r="L69" s="8" t="s">
        <v>25</v>
      </c>
      <c r="M69" s="8"/>
      <c r="N69" s="8" t="s">
        <v>25</v>
      </c>
      <c r="O69" s="8" t="s">
        <v>422</v>
      </c>
      <c r="P69" s="8" t="s">
        <v>420</v>
      </c>
      <c r="Q69" s="8"/>
      <c r="R69" s="8" t="s">
        <v>25</v>
      </c>
      <c r="S69" s="8"/>
      <c r="T69" s="8" t="s">
        <v>25</v>
      </c>
      <c r="U69" s="8"/>
      <c r="V69" s="8"/>
      <c r="W69" s="8"/>
      <c r="X69" s="8"/>
      <c r="Y69" s="8"/>
      <c r="Z69" s="8"/>
      <c r="AA69" s="8"/>
      <c r="AB69" s="8"/>
      <c r="AC69" s="8"/>
      <c r="AD69" s="8"/>
      <c r="AE69" s="8"/>
      <c r="AF69" s="8"/>
      <c r="AG69" s="8"/>
      <c r="AH69" s="8"/>
      <c r="AI69" s="8"/>
      <c r="AJ69" s="8"/>
      <c r="AK69" s="8"/>
      <c r="AL69" s="8">
        <v>2.2999999999999998</v>
      </c>
      <c r="AM69" s="8">
        <v>0.6</v>
      </c>
      <c r="AN69" s="8">
        <v>21.3</v>
      </c>
      <c r="AO69" s="15">
        <v>-12</v>
      </c>
      <c r="AP69" s="8">
        <v>10.3</v>
      </c>
      <c r="AQ69" s="8">
        <v>4.0999999999999996</v>
      </c>
      <c r="AR69" s="8"/>
      <c r="AS69" s="8"/>
      <c r="AT69" s="8"/>
      <c r="AU69" s="8" t="s">
        <v>423</v>
      </c>
    </row>
    <row r="70" spans="1:47" ht="26.4" customHeight="1">
      <c r="A70" s="8" t="s">
        <v>424</v>
      </c>
      <c r="B70" s="8" t="s">
        <v>425</v>
      </c>
      <c r="C70" s="8" t="s">
        <v>426</v>
      </c>
      <c r="D70" s="8" t="s">
        <v>25</v>
      </c>
      <c r="E70" s="8" t="s">
        <v>26</v>
      </c>
      <c r="F70" s="8"/>
      <c r="G70" s="8" t="s">
        <v>25</v>
      </c>
      <c r="H70" s="8" t="s">
        <v>27</v>
      </c>
      <c r="I70" s="8"/>
      <c r="J70" s="8"/>
      <c r="K70" s="8"/>
      <c r="L70" s="8" t="s">
        <v>25</v>
      </c>
      <c r="M70" s="8"/>
      <c r="N70" s="8" t="s">
        <v>25</v>
      </c>
      <c r="O70" s="8" t="s">
        <v>320</v>
      </c>
      <c r="P70" s="8" t="s">
        <v>427</v>
      </c>
      <c r="Q70" s="8"/>
      <c r="R70" s="8" t="s">
        <v>25</v>
      </c>
      <c r="S70" s="8"/>
      <c r="T70" s="8" t="s">
        <v>25</v>
      </c>
      <c r="U70" s="8"/>
      <c r="V70" s="8"/>
      <c r="W70" s="8"/>
      <c r="X70" s="8"/>
      <c r="Y70" s="8"/>
      <c r="Z70" s="8"/>
      <c r="AA70" s="8"/>
      <c r="AB70" s="8"/>
      <c r="AC70" s="8"/>
      <c r="AD70" s="8"/>
      <c r="AE70" s="8"/>
      <c r="AF70" s="8"/>
      <c r="AG70" s="8"/>
      <c r="AH70" s="8"/>
      <c r="AI70" s="8"/>
      <c r="AJ70" s="8"/>
      <c r="AK70" s="8"/>
      <c r="AL70" s="8">
        <v>86.2</v>
      </c>
      <c r="AM70" s="8">
        <v>84.6</v>
      </c>
      <c r="AN70" s="8">
        <v>83.5</v>
      </c>
      <c r="AO70" s="8">
        <v>83.5</v>
      </c>
      <c r="AP70" s="8"/>
      <c r="AQ70" s="15">
        <v>82</v>
      </c>
      <c r="AR70" s="8">
        <v>84.1</v>
      </c>
      <c r="AS70" s="8">
        <v>83.3</v>
      </c>
      <c r="AT70" s="8">
        <v>85.5</v>
      </c>
      <c r="AU70" s="8" t="s">
        <v>428</v>
      </c>
    </row>
    <row r="71" spans="1:47" ht="52.8" customHeight="1">
      <c r="A71" s="8" t="s">
        <v>429</v>
      </c>
      <c r="B71" s="8" t="s">
        <v>430</v>
      </c>
      <c r="C71" s="8" t="s">
        <v>431</v>
      </c>
      <c r="D71" s="8" t="s">
        <v>25</v>
      </c>
      <c r="E71" s="8" t="s">
        <v>57</v>
      </c>
      <c r="F71" s="8" t="s">
        <v>432</v>
      </c>
      <c r="G71" s="8" t="s">
        <v>433</v>
      </c>
      <c r="H71" s="8" t="s">
        <v>27</v>
      </c>
      <c r="I71" s="8"/>
      <c r="J71" s="8"/>
      <c r="K71" s="8"/>
      <c r="L71" s="8" t="s">
        <v>25</v>
      </c>
      <c r="M71" s="8"/>
      <c r="N71" s="8" t="s">
        <v>25</v>
      </c>
      <c r="O71" s="8" t="s">
        <v>320</v>
      </c>
      <c r="P71" s="8" t="s">
        <v>434</v>
      </c>
      <c r="Q71" s="8"/>
      <c r="R71" s="8" t="s">
        <v>25</v>
      </c>
      <c r="S71" s="8"/>
      <c r="T71" s="8" t="s">
        <v>25</v>
      </c>
      <c r="U71" s="8"/>
      <c r="V71" s="8"/>
      <c r="W71" s="8"/>
      <c r="X71" s="8"/>
      <c r="Y71" s="8"/>
      <c r="Z71" s="8"/>
      <c r="AA71" s="8"/>
      <c r="AB71" s="8"/>
      <c r="AC71" s="8"/>
      <c r="AD71" s="8"/>
      <c r="AE71" s="8"/>
      <c r="AF71" s="8"/>
      <c r="AG71" s="8"/>
      <c r="AH71" s="8"/>
      <c r="AI71" s="8"/>
      <c r="AJ71" s="8"/>
      <c r="AK71" s="8"/>
      <c r="AL71" s="8"/>
      <c r="AM71" s="15">
        <v>2365.1603505995499</v>
      </c>
      <c r="AN71" s="15">
        <v>2531.0859379080098</v>
      </c>
      <c r="AO71" s="15">
        <v>2285.5298508877399</v>
      </c>
      <c r="AP71" s="15">
        <v>2518.9777858995299</v>
      </c>
      <c r="AQ71" s="15">
        <v>2346.0227326232898</v>
      </c>
      <c r="AR71" s="15">
        <v>2337.4808972702699</v>
      </c>
      <c r="AS71" s="15">
        <v>3496.2608515765401</v>
      </c>
      <c r="AT71" s="8"/>
      <c r="AU71" s="8" t="s">
        <v>435</v>
      </c>
    </row>
    <row r="72" spans="1:47" ht="26.4" customHeight="1">
      <c r="A72" s="8" t="s">
        <v>436</v>
      </c>
      <c r="B72" s="8" t="s">
        <v>437</v>
      </c>
      <c r="C72" s="8" t="s">
        <v>438</v>
      </c>
      <c r="D72" s="8" t="s">
        <v>25</v>
      </c>
      <c r="E72" s="8" t="s">
        <v>26</v>
      </c>
      <c r="F72" s="8"/>
      <c r="G72" s="8" t="s">
        <v>25</v>
      </c>
      <c r="H72" s="8" t="s">
        <v>27</v>
      </c>
      <c r="I72" s="8"/>
      <c r="J72" s="8"/>
      <c r="K72" s="8"/>
      <c r="L72" s="8" t="s">
        <v>25</v>
      </c>
      <c r="M72" s="8"/>
      <c r="N72" s="8" t="s">
        <v>25</v>
      </c>
      <c r="O72" s="8" t="s">
        <v>320</v>
      </c>
      <c r="P72" s="8" t="s">
        <v>439</v>
      </c>
      <c r="Q72" s="8"/>
      <c r="R72" s="8" t="s">
        <v>25</v>
      </c>
      <c r="S72" s="8"/>
      <c r="T72" s="8" t="s">
        <v>25</v>
      </c>
      <c r="U72" s="8"/>
      <c r="V72" s="8"/>
      <c r="W72" s="8"/>
      <c r="X72" s="8"/>
      <c r="Y72" s="8"/>
      <c r="Z72" s="8"/>
      <c r="AA72" s="8"/>
      <c r="AB72" s="8"/>
      <c r="AC72" s="8"/>
      <c r="AD72" s="8"/>
      <c r="AE72" s="8"/>
      <c r="AF72" s="8"/>
      <c r="AG72" s="8"/>
      <c r="AH72" s="8"/>
      <c r="AI72" s="8"/>
      <c r="AJ72" s="8"/>
      <c r="AK72" s="8"/>
      <c r="AL72" s="8">
        <v>18.8</v>
      </c>
      <c r="AM72" s="8">
        <v>17.3</v>
      </c>
      <c r="AN72" s="8">
        <v>15.1</v>
      </c>
      <c r="AO72" s="8">
        <v>15.2</v>
      </c>
      <c r="AP72" s="8">
        <v>17.899999999999999</v>
      </c>
      <c r="AQ72" s="8">
        <v>20.9</v>
      </c>
      <c r="AR72" s="8">
        <v>20.5</v>
      </c>
      <c r="AS72" s="15">
        <v>17.238670957604761</v>
      </c>
      <c r="AT72" s="15">
        <v>14.93</v>
      </c>
      <c r="AU72" s="8" t="s">
        <v>440</v>
      </c>
    </row>
    <row r="73" spans="1:47" ht="26.4" customHeight="1">
      <c r="A73" s="8" t="s">
        <v>441</v>
      </c>
      <c r="B73" s="8" t="s">
        <v>442</v>
      </c>
      <c r="C73" s="8" t="s">
        <v>443</v>
      </c>
      <c r="D73" s="8" t="s">
        <v>25</v>
      </c>
      <c r="E73" s="8" t="s">
        <v>26</v>
      </c>
      <c r="F73" s="8"/>
      <c r="G73" s="8" t="s">
        <v>25</v>
      </c>
      <c r="H73" s="8" t="s">
        <v>27</v>
      </c>
      <c r="I73" s="8"/>
      <c r="J73" s="8"/>
      <c r="K73" s="8"/>
      <c r="L73" s="8" t="s">
        <v>25</v>
      </c>
      <c r="M73" s="8"/>
      <c r="N73" s="8" t="s">
        <v>25</v>
      </c>
      <c r="O73" s="8" t="s">
        <v>320</v>
      </c>
      <c r="P73" s="8" t="s">
        <v>444</v>
      </c>
      <c r="Q73" s="8"/>
      <c r="R73" s="8" t="s">
        <v>445</v>
      </c>
      <c r="S73" s="8" t="s">
        <v>446</v>
      </c>
      <c r="T73" s="8" t="s">
        <v>25</v>
      </c>
      <c r="U73" s="8"/>
      <c r="V73" s="8"/>
      <c r="W73" s="8"/>
      <c r="X73" s="8"/>
      <c r="Y73" s="8"/>
      <c r="Z73" s="8"/>
      <c r="AA73" s="8"/>
      <c r="AB73" s="8"/>
      <c r="AC73" s="8"/>
      <c r="AD73" s="8"/>
      <c r="AE73" s="8"/>
      <c r="AF73" s="8"/>
      <c r="AG73" s="8"/>
      <c r="AH73" s="8"/>
      <c r="AI73" s="8"/>
      <c r="AJ73" s="8"/>
      <c r="AK73" s="8"/>
      <c r="AL73" s="8"/>
      <c r="AM73" s="8">
        <v>31.8</v>
      </c>
      <c r="AN73" s="8">
        <v>30.7</v>
      </c>
      <c r="AO73" s="8">
        <v>32.5</v>
      </c>
      <c r="AP73" s="8"/>
      <c r="AQ73" s="8">
        <v>32.799999999999997</v>
      </c>
      <c r="AR73" s="8">
        <v>32.1</v>
      </c>
      <c r="AS73" s="8">
        <v>31.9</v>
      </c>
      <c r="AT73" s="8">
        <v>26.8</v>
      </c>
      <c r="AU73" s="8" t="s">
        <v>447</v>
      </c>
    </row>
    <row r="74" spans="1:47" ht="39.6" customHeight="1">
      <c r="A74" s="8" t="s">
        <v>448</v>
      </c>
      <c r="B74" s="11" t="s">
        <v>449</v>
      </c>
      <c r="C74" s="8" t="s">
        <v>450</v>
      </c>
      <c r="D74" s="8" t="s">
        <v>25</v>
      </c>
      <c r="E74" s="8" t="s">
        <v>26</v>
      </c>
      <c r="F74" s="8"/>
      <c r="G74" s="8" t="s">
        <v>25</v>
      </c>
      <c r="H74" s="8" t="s">
        <v>27</v>
      </c>
      <c r="I74" s="8"/>
      <c r="J74" s="8"/>
      <c r="K74" s="8"/>
      <c r="L74" s="8" t="s">
        <v>25</v>
      </c>
      <c r="M74" s="8"/>
      <c r="N74" s="8" t="s">
        <v>25</v>
      </c>
      <c r="O74" s="8" t="s">
        <v>34</v>
      </c>
      <c r="P74" s="8" t="s">
        <v>451</v>
      </c>
      <c r="Q74" s="8"/>
      <c r="R74" s="8" t="s">
        <v>452</v>
      </c>
      <c r="S74" s="8" t="s">
        <v>453</v>
      </c>
      <c r="T74" s="8" t="s">
        <v>25</v>
      </c>
      <c r="U74" s="8"/>
      <c r="V74" s="8"/>
      <c r="W74" s="8"/>
      <c r="X74" s="8"/>
      <c r="Y74" s="8"/>
      <c r="Z74" s="8"/>
      <c r="AA74" s="8"/>
      <c r="AB74" s="8"/>
      <c r="AC74" s="8"/>
      <c r="AD74" s="8"/>
      <c r="AE74" s="8"/>
      <c r="AF74" s="8"/>
      <c r="AG74" s="8"/>
      <c r="AH74" s="8"/>
      <c r="AI74" s="8"/>
      <c r="AJ74" s="8">
        <v>5.5</v>
      </c>
      <c r="AK74" s="8"/>
      <c r="AL74" s="8"/>
      <c r="AM74" s="8">
        <v>3.6</v>
      </c>
      <c r="AN74" s="8"/>
      <c r="AO74" s="8"/>
      <c r="AP74" s="8"/>
      <c r="AQ74" s="8"/>
      <c r="AR74" s="8"/>
      <c r="AS74" s="8"/>
      <c r="AT74" s="8">
        <v>3.3</v>
      </c>
      <c r="AU74" s="8" t="s">
        <v>454</v>
      </c>
    </row>
    <row r="75" spans="1:47" ht="14.4" hidden="1" customHeight="1">
      <c r="A75" s="8" t="s">
        <v>455</v>
      </c>
      <c r="B75" s="8" t="s">
        <v>456</v>
      </c>
      <c r="C75" s="8" t="s">
        <v>457</v>
      </c>
      <c r="D75" s="8" t="s">
        <v>25</v>
      </c>
      <c r="E75" s="8" t="s">
        <v>26</v>
      </c>
      <c r="F75" s="8"/>
      <c r="G75" s="8" t="s">
        <v>25</v>
      </c>
      <c r="H75" s="8" t="s">
        <v>27</v>
      </c>
      <c r="I75" s="8"/>
      <c r="J75" s="8"/>
      <c r="K75" s="8"/>
      <c r="L75" s="8" t="s">
        <v>25</v>
      </c>
      <c r="M75" s="8"/>
      <c r="N75" s="8" t="s">
        <v>25</v>
      </c>
      <c r="O75" s="8" t="s">
        <v>458</v>
      </c>
      <c r="P75" s="8" t="s">
        <v>459</v>
      </c>
      <c r="Q75" s="8"/>
      <c r="R75" s="8" t="s">
        <v>25</v>
      </c>
      <c r="S75" s="8"/>
      <c r="T75" s="8" t="s">
        <v>25</v>
      </c>
      <c r="U75" s="8"/>
      <c r="V75" s="8"/>
      <c r="W75" s="8"/>
      <c r="X75" s="8"/>
      <c r="Y75" s="8"/>
      <c r="Z75" s="8"/>
      <c r="AA75" s="8"/>
      <c r="AB75" s="8"/>
      <c r="AC75" s="8"/>
      <c r="AD75" s="8"/>
      <c r="AE75" s="8"/>
      <c r="AF75" s="8"/>
      <c r="AG75" s="8"/>
      <c r="AH75" s="8"/>
      <c r="AI75" s="8"/>
      <c r="AJ75" s="8"/>
      <c r="AK75" s="8"/>
      <c r="AL75" s="8"/>
      <c r="AM75" s="8"/>
      <c r="AN75" s="8">
        <v>6</v>
      </c>
      <c r="AO75" s="8">
        <v>5</v>
      </c>
      <c r="AP75" s="8"/>
      <c r="AQ75" s="8"/>
      <c r="AR75" s="8"/>
      <c r="AS75" s="8"/>
      <c r="AT75" s="8"/>
      <c r="AU75" s="8" t="s">
        <v>460</v>
      </c>
    </row>
    <row r="76" spans="1:47" ht="26.4" hidden="1" customHeight="1">
      <c r="A76" s="8" t="s">
        <v>461</v>
      </c>
      <c r="B76" s="8" t="s">
        <v>462</v>
      </c>
      <c r="C76" s="8" t="s">
        <v>463</v>
      </c>
      <c r="D76" s="8" t="s">
        <v>25</v>
      </c>
      <c r="E76" s="8" t="s">
        <v>464</v>
      </c>
      <c r="F76" s="8"/>
      <c r="G76" s="8" t="s">
        <v>25</v>
      </c>
      <c r="H76" s="8" t="s">
        <v>27</v>
      </c>
      <c r="I76" s="8"/>
      <c r="J76" s="8"/>
      <c r="K76" s="8"/>
      <c r="L76" s="8" t="s">
        <v>25</v>
      </c>
      <c r="M76" s="8"/>
      <c r="N76" s="8" t="s">
        <v>25</v>
      </c>
      <c r="O76" s="8" t="s">
        <v>465</v>
      </c>
      <c r="P76" s="8" t="s">
        <v>466</v>
      </c>
      <c r="Q76" s="8"/>
      <c r="R76" s="8" t="s">
        <v>25</v>
      </c>
      <c r="S76" s="8"/>
      <c r="T76" s="8" t="s">
        <v>25</v>
      </c>
      <c r="U76" s="8"/>
      <c r="V76" s="8"/>
      <c r="W76" s="8"/>
      <c r="X76" s="8"/>
      <c r="Y76" s="8"/>
      <c r="Z76" s="8"/>
      <c r="AA76" s="8"/>
      <c r="AB76" s="8"/>
      <c r="AC76" s="8"/>
      <c r="AD76" s="8"/>
      <c r="AE76" s="8"/>
      <c r="AF76" s="8"/>
      <c r="AG76" s="8"/>
      <c r="AH76" s="8"/>
      <c r="AI76" s="8"/>
      <c r="AJ76" s="8"/>
      <c r="AK76" s="8">
        <v>1.8</v>
      </c>
      <c r="AL76" s="8">
        <v>2.1</v>
      </c>
      <c r="AM76" s="8">
        <v>2.2999999999999998</v>
      </c>
      <c r="AN76" s="8">
        <v>2.2999999999999998</v>
      </c>
      <c r="AO76" s="8">
        <v>1.3</v>
      </c>
      <c r="AP76" s="8">
        <v>1.3</v>
      </c>
      <c r="AQ76" s="8">
        <v>1.3</v>
      </c>
      <c r="AR76" s="8"/>
      <c r="AS76" s="8"/>
      <c r="AT76" s="8"/>
      <c r="AU76" s="8" t="s">
        <v>467</v>
      </c>
    </row>
    <row r="77" spans="1:47" ht="14.4" hidden="1" customHeight="1">
      <c r="A77" s="8" t="s">
        <v>468</v>
      </c>
      <c r="B77" s="8" t="s">
        <v>469</v>
      </c>
      <c r="C77" s="8" t="s">
        <v>470</v>
      </c>
      <c r="D77" s="8" t="s">
        <v>25</v>
      </c>
      <c r="E77" s="8" t="s">
        <v>26</v>
      </c>
      <c r="F77" s="8"/>
      <c r="G77" s="8" t="s">
        <v>25</v>
      </c>
      <c r="H77" s="8" t="s">
        <v>27</v>
      </c>
      <c r="I77" s="8"/>
      <c r="J77" s="8"/>
      <c r="K77" s="8"/>
      <c r="L77" s="8" t="s">
        <v>25</v>
      </c>
      <c r="M77" s="8"/>
      <c r="N77" s="8" t="s">
        <v>25</v>
      </c>
      <c r="O77" s="8" t="s">
        <v>471</v>
      </c>
      <c r="P77" s="8" t="s">
        <v>472</v>
      </c>
      <c r="Q77" s="8"/>
      <c r="R77" s="8" t="s">
        <v>25</v>
      </c>
      <c r="S77" s="8"/>
      <c r="T77" s="8" t="s">
        <v>25</v>
      </c>
      <c r="U77" s="8"/>
      <c r="V77" s="8"/>
      <c r="W77" s="8"/>
      <c r="X77" s="8"/>
      <c r="Y77" s="8"/>
      <c r="Z77" s="8"/>
      <c r="AA77" s="8"/>
      <c r="AB77" s="8"/>
      <c r="AC77" s="8"/>
      <c r="AD77" s="8"/>
      <c r="AE77" s="8"/>
      <c r="AF77" s="8"/>
      <c r="AG77" s="8"/>
      <c r="AH77" s="8"/>
      <c r="AI77" s="8"/>
      <c r="AJ77" s="8"/>
      <c r="AK77" s="8"/>
      <c r="AL77" s="8"/>
      <c r="AM77" s="8"/>
      <c r="AN77" s="15">
        <v>3.43</v>
      </c>
      <c r="AO77" s="8">
        <v>4.9000000000000004</v>
      </c>
      <c r="AP77" s="8">
        <v>1.3</v>
      </c>
      <c r="AQ77" s="8"/>
      <c r="AR77" s="8"/>
      <c r="AS77" s="8"/>
      <c r="AT77" s="8">
        <v>4.3</v>
      </c>
      <c r="AU77" s="8" t="s">
        <v>473</v>
      </c>
    </row>
    <row r="78" spans="1:47" ht="14.4" hidden="1" customHeight="1">
      <c r="A78" s="8" t="s">
        <v>474</v>
      </c>
      <c r="B78" s="8" t="s">
        <v>475</v>
      </c>
      <c r="C78" s="8" t="s">
        <v>476</v>
      </c>
      <c r="D78" s="8" t="s">
        <v>25</v>
      </c>
      <c r="E78" s="8" t="s">
        <v>64</v>
      </c>
      <c r="F78" s="8"/>
      <c r="G78" s="8" t="s">
        <v>25</v>
      </c>
      <c r="H78" s="8" t="s">
        <v>27</v>
      </c>
      <c r="I78" s="8"/>
      <c r="J78" s="8"/>
      <c r="K78" s="8"/>
      <c r="L78" s="8" t="s">
        <v>25</v>
      </c>
      <c r="M78" s="8"/>
      <c r="N78" s="8" t="s">
        <v>25</v>
      </c>
      <c r="O78" s="8" t="s">
        <v>477</v>
      </c>
      <c r="P78" s="8" t="s">
        <v>478</v>
      </c>
      <c r="Q78" s="8"/>
      <c r="R78" s="8" t="s">
        <v>25</v>
      </c>
      <c r="S78" s="8"/>
      <c r="T78" s="8" t="s">
        <v>25</v>
      </c>
      <c r="U78" s="8"/>
      <c r="V78" s="8"/>
      <c r="W78" s="8"/>
      <c r="X78" s="8"/>
      <c r="Y78" s="8"/>
      <c r="Z78" s="8"/>
      <c r="AA78" s="8"/>
      <c r="AB78" s="8"/>
      <c r="AC78" s="8"/>
      <c r="AD78" s="8"/>
      <c r="AE78" s="8"/>
      <c r="AF78" s="8"/>
      <c r="AG78" s="8"/>
      <c r="AH78" s="8"/>
      <c r="AI78" s="8"/>
      <c r="AJ78" s="8"/>
      <c r="AK78" s="8">
        <v>5.8</v>
      </c>
      <c r="AL78" s="15">
        <v>6</v>
      </c>
      <c r="AM78" s="8">
        <v>5.9</v>
      </c>
      <c r="AN78" s="8">
        <v>5.4</v>
      </c>
      <c r="AO78" s="8">
        <v>5.3</v>
      </c>
      <c r="AP78" s="8">
        <v>5.2</v>
      </c>
      <c r="AQ78" s="8"/>
      <c r="AR78" s="8">
        <v>4.4000000000000004</v>
      </c>
      <c r="AS78" s="8">
        <v>4.3</v>
      </c>
      <c r="AT78" s="15">
        <v>4.3600000000000003</v>
      </c>
      <c r="AU78" s="8" t="s">
        <v>479</v>
      </c>
    </row>
    <row r="79" spans="1:47" ht="52.8" customHeight="1">
      <c r="A79" s="8" t="s">
        <v>480</v>
      </c>
      <c r="B79" s="11" t="s">
        <v>481</v>
      </c>
      <c r="C79" s="8" t="s">
        <v>482</v>
      </c>
      <c r="D79" s="8" t="s">
        <v>25</v>
      </c>
      <c r="E79" s="8" t="s">
        <v>26</v>
      </c>
      <c r="F79" s="8"/>
      <c r="G79" s="8" t="s">
        <v>25</v>
      </c>
      <c r="H79" s="8" t="s">
        <v>27</v>
      </c>
      <c r="I79" s="8"/>
      <c r="J79" s="8"/>
      <c r="K79" s="8"/>
      <c r="L79" s="8" t="s">
        <v>25</v>
      </c>
      <c r="M79" s="8"/>
      <c r="N79" s="8" t="s">
        <v>25</v>
      </c>
      <c r="O79" s="8" t="s">
        <v>34</v>
      </c>
      <c r="P79" s="8" t="s">
        <v>483</v>
      </c>
      <c r="Q79" s="8"/>
      <c r="R79" s="8" t="s">
        <v>25</v>
      </c>
      <c r="S79" s="8"/>
      <c r="T79" s="8" t="s">
        <v>25</v>
      </c>
      <c r="U79" s="8"/>
      <c r="V79" s="8"/>
      <c r="W79" s="8"/>
      <c r="X79" s="8"/>
      <c r="Y79" s="8"/>
      <c r="Z79" s="8"/>
      <c r="AA79" s="8"/>
      <c r="AB79" s="8">
        <v>18.899999999999999</v>
      </c>
      <c r="AC79" s="8"/>
      <c r="AD79" s="8"/>
      <c r="AE79" s="8"/>
      <c r="AF79" s="8"/>
      <c r="AG79" s="8">
        <v>36.1</v>
      </c>
      <c r="AH79" s="8"/>
      <c r="AI79" s="8"/>
      <c r="AJ79" s="8">
        <v>54.1</v>
      </c>
      <c r="AK79" s="8"/>
      <c r="AL79" s="15">
        <v>68</v>
      </c>
      <c r="AM79" s="8"/>
      <c r="AN79" s="8"/>
      <c r="AO79" s="8"/>
      <c r="AP79" s="15">
        <v>93</v>
      </c>
      <c r="AQ79" s="8"/>
      <c r="AR79" s="8"/>
      <c r="AS79" s="8"/>
      <c r="AT79" s="8"/>
      <c r="AU79" s="8" t="s">
        <v>484</v>
      </c>
    </row>
    <row r="80" spans="1:47" ht="26.4" hidden="1" customHeight="1">
      <c r="A80" s="8" t="s">
        <v>485</v>
      </c>
      <c r="B80" s="8" t="s">
        <v>486</v>
      </c>
      <c r="C80" s="8" t="s">
        <v>487</v>
      </c>
      <c r="D80" s="8" t="s">
        <v>25</v>
      </c>
      <c r="E80" s="8" t="s">
        <v>26</v>
      </c>
      <c r="F80" s="8"/>
      <c r="G80" s="8" t="s">
        <v>25</v>
      </c>
      <c r="H80" s="8" t="s">
        <v>27</v>
      </c>
      <c r="I80" s="8"/>
      <c r="J80" s="8"/>
      <c r="K80" s="8" t="s">
        <v>488</v>
      </c>
      <c r="L80" s="8" t="s">
        <v>489</v>
      </c>
      <c r="M80" s="8"/>
      <c r="N80" s="8" t="s">
        <v>25</v>
      </c>
      <c r="O80" s="8" t="s">
        <v>490</v>
      </c>
      <c r="P80" s="8" t="s">
        <v>486</v>
      </c>
      <c r="Q80" s="8"/>
      <c r="R80" s="8" t="s">
        <v>25</v>
      </c>
      <c r="S80" s="8"/>
      <c r="T80" s="8" t="s">
        <v>25</v>
      </c>
      <c r="U80" s="8"/>
      <c r="V80" s="8"/>
      <c r="W80" s="8"/>
      <c r="X80" s="8"/>
      <c r="Y80" s="8"/>
      <c r="Z80" s="8"/>
      <c r="AA80" s="8"/>
      <c r="AB80" s="8"/>
      <c r="AC80" s="8"/>
      <c r="AD80" s="8"/>
      <c r="AE80" s="8"/>
      <c r="AF80" s="8"/>
      <c r="AG80" s="8"/>
      <c r="AH80" s="8"/>
      <c r="AI80" s="8"/>
      <c r="AJ80" s="8"/>
      <c r="AK80" s="8"/>
      <c r="AL80" s="8"/>
      <c r="AM80" s="8"/>
      <c r="AN80" s="8">
        <v>63</v>
      </c>
      <c r="AO80" s="8"/>
      <c r="AP80" s="8"/>
      <c r="AQ80" s="8"/>
      <c r="AR80" s="8"/>
      <c r="AS80" s="8"/>
      <c r="AT80" s="8"/>
      <c r="AU80" s="8" t="s">
        <v>491</v>
      </c>
    </row>
    <row r="81" spans="1:47" ht="14.4" hidden="1" customHeight="1">
      <c r="A81" s="8" t="s">
        <v>492</v>
      </c>
      <c r="B81" s="8" t="s">
        <v>493</v>
      </c>
      <c r="C81" s="8" t="s">
        <v>494</v>
      </c>
      <c r="D81" s="8" t="s">
        <v>25</v>
      </c>
      <c r="E81" s="8" t="s">
        <v>495</v>
      </c>
      <c r="F81" s="8">
        <v>3</v>
      </c>
      <c r="G81" s="8" t="s">
        <v>25</v>
      </c>
      <c r="H81" s="8" t="s">
        <v>27</v>
      </c>
      <c r="I81" s="8"/>
      <c r="J81" s="8"/>
      <c r="K81" s="8"/>
      <c r="L81" s="8" t="s">
        <v>25</v>
      </c>
      <c r="M81" s="8" t="s">
        <v>25</v>
      </c>
      <c r="N81" s="8" t="s">
        <v>25</v>
      </c>
      <c r="O81" s="8" t="s">
        <v>496</v>
      </c>
      <c r="P81" s="8" t="s">
        <v>497</v>
      </c>
      <c r="Q81" s="8"/>
      <c r="R81" s="8" t="s">
        <v>25</v>
      </c>
      <c r="S81" s="8"/>
      <c r="T81" s="8" t="s">
        <v>25</v>
      </c>
      <c r="U81" s="8"/>
      <c r="V81" s="8"/>
      <c r="W81" s="8"/>
      <c r="X81" s="8"/>
      <c r="Y81" s="8"/>
      <c r="Z81" s="8"/>
      <c r="AA81" s="8"/>
      <c r="AB81" s="8"/>
      <c r="AC81" s="8"/>
      <c r="AD81" s="8"/>
      <c r="AE81" s="8"/>
      <c r="AF81" s="8"/>
      <c r="AG81" s="8"/>
      <c r="AH81" s="8"/>
      <c r="AI81" s="8"/>
      <c r="AJ81" s="8"/>
      <c r="AK81" s="15">
        <v>304.95999999999998</v>
      </c>
      <c r="AL81" s="15">
        <v>249.86</v>
      </c>
      <c r="AM81" s="15">
        <v>266.55</v>
      </c>
      <c r="AN81" s="15">
        <v>339.7</v>
      </c>
      <c r="AO81" s="15">
        <v>254.87</v>
      </c>
      <c r="AP81" s="15">
        <v>173.59</v>
      </c>
      <c r="AQ81" s="8"/>
      <c r="AR81" s="8"/>
      <c r="AS81" s="8"/>
      <c r="AT81" s="8"/>
      <c r="AU81" s="8" t="s">
        <v>498</v>
      </c>
    </row>
    <row r="82" spans="1:47" ht="52.8" customHeight="1">
      <c r="A82" s="8" t="s">
        <v>499</v>
      </c>
      <c r="B82" s="11" t="s">
        <v>500</v>
      </c>
      <c r="C82" s="8" t="s">
        <v>501</v>
      </c>
      <c r="D82" s="8" t="s">
        <v>25</v>
      </c>
      <c r="E82" s="8" t="s">
        <v>26</v>
      </c>
      <c r="F82" s="8"/>
      <c r="G82" s="8" t="s">
        <v>25</v>
      </c>
      <c r="H82" s="8" t="s">
        <v>27</v>
      </c>
      <c r="I82" s="8"/>
      <c r="J82" s="8"/>
      <c r="K82" s="8"/>
      <c r="L82" s="8" t="s">
        <v>25</v>
      </c>
      <c r="M82" s="8"/>
      <c r="N82" s="8" t="s">
        <v>25</v>
      </c>
      <c r="O82" s="8" t="s">
        <v>417</v>
      </c>
      <c r="P82" s="8" t="s">
        <v>502</v>
      </c>
      <c r="Q82" s="8"/>
      <c r="R82" s="8" t="s">
        <v>25</v>
      </c>
      <c r="S82" s="8"/>
      <c r="T82" s="8" t="s">
        <v>25</v>
      </c>
      <c r="U82" s="8"/>
      <c r="V82" s="8">
        <v>12</v>
      </c>
      <c r="W82" s="8">
        <v>11</v>
      </c>
      <c r="X82" s="8">
        <v>12</v>
      </c>
      <c r="Y82" s="8">
        <v>10</v>
      </c>
      <c r="Z82" s="8">
        <v>10</v>
      </c>
      <c r="AA82" s="8">
        <v>10</v>
      </c>
      <c r="AB82" s="8">
        <v>9</v>
      </c>
      <c r="AC82" s="8">
        <v>8</v>
      </c>
      <c r="AD82" s="8">
        <v>8</v>
      </c>
      <c r="AE82" s="8">
        <v>8</v>
      </c>
      <c r="AF82" s="8">
        <v>8</v>
      </c>
      <c r="AG82" s="8">
        <v>8</v>
      </c>
      <c r="AH82" s="8">
        <v>8</v>
      </c>
      <c r="AI82" s="8">
        <v>7</v>
      </c>
      <c r="AJ82" s="8">
        <v>7</v>
      </c>
      <c r="AK82" s="8">
        <v>7</v>
      </c>
      <c r="AL82" s="8">
        <v>7</v>
      </c>
      <c r="AM82" s="8">
        <v>8</v>
      </c>
      <c r="AN82" s="8">
        <v>8</v>
      </c>
      <c r="AO82" s="8">
        <v>8</v>
      </c>
      <c r="AP82" s="8">
        <v>9</v>
      </c>
      <c r="AQ82" s="8">
        <v>9</v>
      </c>
      <c r="AR82" s="8">
        <v>10</v>
      </c>
      <c r="AS82" s="8">
        <v>10</v>
      </c>
      <c r="AT82" s="8"/>
      <c r="AU82" s="8" t="s">
        <v>503</v>
      </c>
    </row>
    <row r="83" spans="1:47" ht="26.4" customHeight="1">
      <c r="A83" s="8" t="s">
        <v>504</v>
      </c>
      <c r="B83" s="8" t="s">
        <v>505</v>
      </c>
      <c r="C83" s="8" t="s">
        <v>506</v>
      </c>
      <c r="D83" s="8" t="s">
        <v>25</v>
      </c>
      <c r="E83" s="8" t="s">
        <v>26</v>
      </c>
      <c r="F83" s="8"/>
      <c r="G83" s="8" t="s">
        <v>25</v>
      </c>
      <c r="H83" s="8" t="s">
        <v>27</v>
      </c>
      <c r="I83" s="8"/>
      <c r="J83" s="8"/>
      <c r="K83" s="8"/>
      <c r="L83" s="8" t="s">
        <v>25</v>
      </c>
      <c r="M83" s="8"/>
      <c r="N83" s="8" t="s">
        <v>25</v>
      </c>
      <c r="O83" s="8" t="s">
        <v>320</v>
      </c>
      <c r="P83" s="8" t="s">
        <v>505</v>
      </c>
      <c r="Q83" s="8"/>
      <c r="R83" s="8" t="s">
        <v>25</v>
      </c>
      <c r="S83" s="8"/>
      <c r="T83" s="8" t="s">
        <v>25</v>
      </c>
      <c r="U83" s="8"/>
      <c r="V83" s="8"/>
      <c r="W83" s="8"/>
      <c r="X83" s="8"/>
      <c r="Y83" s="8"/>
      <c r="Z83" s="8"/>
      <c r="AA83" s="8"/>
      <c r="AB83" s="8"/>
      <c r="AC83" s="8"/>
      <c r="AD83" s="8"/>
      <c r="AE83" s="8"/>
      <c r="AF83" s="8"/>
      <c r="AG83" s="8"/>
      <c r="AH83" s="8"/>
      <c r="AI83" s="8"/>
      <c r="AJ83" s="8"/>
      <c r="AK83" s="8"/>
      <c r="AL83" s="8"/>
      <c r="AM83" s="8">
        <v>5.3</v>
      </c>
      <c r="AN83" s="8">
        <v>6.4</v>
      </c>
      <c r="AO83" s="8">
        <v>6.4</v>
      </c>
      <c r="AP83" s="8">
        <v>5.8</v>
      </c>
      <c r="AQ83" s="8">
        <v>4.8</v>
      </c>
      <c r="AR83" s="8">
        <v>5.3</v>
      </c>
      <c r="AS83" s="8">
        <v>5.5</v>
      </c>
      <c r="AT83" s="8">
        <v>5.7</v>
      </c>
      <c r="AU83" s="8" t="s">
        <v>507</v>
      </c>
    </row>
    <row r="84" spans="1:47" ht="14.4" hidden="1" customHeight="1">
      <c r="A84" s="8" t="s">
        <v>508</v>
      </c>
      <c r="B84" s="8" t="s">
        <v>509</v>
      </c>
      <c r="C84" s="8" t="s">
        <v>510</v>
      </c>
      <c r="D84" s="8" t="s">
        <v>25</v>
      </c>
      <c r="E84" s="8" t="s">
        <v>511</v>
      </c>
      <c r="F84" s="8"/>
      <c r="G84" s="8" t="s">
        <v>25</v>
      </c>
      <c r="H84" s="8" t="s">
        <v>27</v>
      </c>
      <c r="I84" s="8"/>
      <c r="J84" s="8"/>
      <c r="K84" s="8"/>
      <c r="L84" s="8" t="s">
        <v>25</v>
      </c>
      <c r="M84" s="8"/>
      <c r="N84" s="8" t="s">
        <v>25</v>
      </c>
      <c r="O84" s="8" t="s">
        <v>512</v>
      </c>
      <c r="P84" s="8" t="s">
        <v>513</v>
      </c>
      <c r="Q84" s="8"/>
      <c r="R84" s="8" t="s">
        <v>25</v>
      </c>
      <c r="S84" s="8"/>
      <c r="T84" s="8" t="s">
        <v>25</v>
      </c>
      <c r="U84" s="8"/>
      <c r="V84" s="15">
        <v>9.1999999999999998E-2</v>
      </c>
      <c r="W84" s="15">
        <v>8.5999999999999993E-2</v>
      </c>
      <c r="X84" s="15">
        <v>0.09</v>
      </c>
      <c r="Y84" s="15">
        <v>7.4999999999999997E-2</v>
      </c>
      <c r="Z84" s="15">
        <v>6.7000000000000004E-2</v>
      </c>
      <c r="AA84" s="15">
        <v>6.7000000000000004E-2</v>
      </c>
      <c r="AB84" s="15">
        <v>6.2E-2</v>
      </c>
      <c r="AC84" s="15">
        <v>5.1999999999999998E-2</v>
      </c>
      <c r="AD84" s="15">
        <v>4.5999999999999999E-2</v>
      </c>
      <c r="AE84" s="15">
        <v>4.4999999999999998E-2</v>
      </c>
      <c r="AF84" s="15">
        <v>4.3999999999999997E-2</v>
      </c>
      <c r="AG84" s="15">
        <v>4.2999999999999997E-2</v>
      </c>
      <c r="AH84" s="15">
        <v>4.3999999999999997E-2</v>
      </c>
      <c r="AI84" s="15">
        <v>4.7E-2</v>
      </c>
      <c r="AJ84" s="15">
        <v>4.4999999999999998E-2</v>
      </c>
      <c r="AK84" s="15">
        <v>4.7E-2</v>
      </c>
      <c r="AL84" s="15">
        <v>4.5999999999999999E-2</v>
      </c>
      <c r="AM84" s="15">
        <v>4.8000000000000001E-2</v>
      </c>
      <c r="AN84" s="15">
        <v>4.9000000000000002E-2</v>
      </c>
      <c r="AO84" s="15">
        <v>4.5999999999999999E-2</v>
      </c>
      <c r="AP84" s="15">
        <v>4.4999999999999998E-2</v>
      </c>
      <c r="AQ84" s="8"/>
      <c r="AR84" s="8"/>
      <c r="AS84" s="8"/>
      <c r="AT84" s="8"/>
      <c r="AU84" s="8" t="s">
        <v>514</v>
      </c>
    </row>
    <row r="85" spans="1:47" ht="26.4" hidden="1" customHeight="1">
      <c r="A85" s="8" t="s">
        <v>515</v>
      </c>
      <c r="B85" s="8" t="s">
        <v>516</v>
      </c>
      <c r="C85" s="8" t="s">
        <v>517</v>
      </c>
      <c r="D85" s="8" t="s">
        <v>25</v>
      </c>
      <c r="E85" s="8" t="s">
        <v>26</v>
      </c>
      <c r="F85" s="8"/>
      <c r="G85" s="8" t="s">
        <v>25</v>
      </c>
      <c r="H85" s="8" t="s">
        <v>27</v>
      </c>
      <c r="I85" s="8"/>
      <c r="J85" s="8"/>
      <c r="K85" s="8"/>
      <c r="L85" s="8" t="s">
        <v>25</v>
      </c>
      <c r="M85" s="8"/>
      <c r="N85" s="8" t="s">
        <v>25</v>
      </c>
      <c r="O85" s="8" t="s">
        <v>518</v>
      </c>
      <c r="P85" s="8" t="s">
        <v>519</v>
      </c>
      <c r="Q85" s="8"/>
      <c r="R85" s="8" t="s">
        <v>25</v>
      </c>
      <c r="S85" s="8"/>
      <c r="T85" s="8" t="s">
        <v>25</v>
      </c>
      <c r="U85" s="8"/>
      <c r="V85" s="8"/>
      <c r="W85" s="8"/>
      <c r="X85" s="8"/>
      <c r="Y85" s="8"/>
      <c r="Z85" s="8"/>
      <c r="AA85" s="8"/>
      <c r="AB85" s="8"/>
      <c r="AC85" s="8"/>
      <c r="AD85" s="8"/>
      <c r="AE85" s="8"/>
      <c r="AF85" s="8"/>
      <c r="AG85" s="8"/>
      <c r="AH85" s="8"/>
      <c r="AI85" s="8"/>
      <c r="AJ85" s="8"/>
      <c r="AK85" s="8"/>
      <c r="AL85" s="15">
        <v>0.64978000000000002</v>
      </c>
      <c r="AM85" s="8"/>
      <c r="AN85" s="15">
        <v>0.69</v>
      </c>
      <c r="AO85" s="8"/>
      <c r="AP85" s="8"/>
      <c r="AQ85" s="8"/>
      <c r="AR85" s="15">
        <v>0.69</v>
      </c>
      <c r="AS85" s="8"/>
      <c r="AT85" s="8"/>
      <c r="AU85" s="8" t="s">
        <v>520</v>
      </c>
    </row>
    <row r="86" spans="1:47" ht="14.4" hidden="1" customHeight="1">
      <c r="A86" s="8" t="s">
        <v>521</v>
      </c>
      <c r="B86" s="8" t="s">
        <v>522</v>
      </c>
      <c r="C86" s="8" t="s">
        <v>523</v>
      </c>
      <c r="D86" s="8" t="s">
        <v>25</v>
      </c>
      <c r="E86" s="8" t="s">
        <v>524</v>
      </c>
      <c r="F86" s="8"/>
      <c r="G86" s="8" t="s">
        <v>25</v>
      </c>
      <c r="H86" s="8" t="s">
        <v>27</v>
      </c>
      <c r="I86" s="8"/>
      <c r="J86" s="8"/>
      <c r="K86" s="8"/>
      <c r="L86" s="8" t="s">
        <v>25</v>
      </c>
      <c r="M86" s="8"/>
      <c r="N86" s="8" t="s">
        <v>25</v>
      </c>
      <c r="O86" s="8" t="s">
        <v>512</v>
      </c>
      <c r="P86" s="8" t="s">
        <v>522</v>
      </c>
      <c r="Q86" s="8"/>
      <c r="R86" s="8" t="s">
        <v>25</v>
      </c>
      <c r="S86" s="8"/>
      <c r="T86" s="8" t="s">
        <v>25</v>
      </c>
      <c r="U86" s="8"/>
      <c r="V86" s="8"/>
      <c r="W86" s="8"/>
      <c r="X86" s="8"/>
      <c r="Y86" s="8"/>
      <c r="Z86" s="8"/>
      <c r="AA86" s="8"/>
      <c r="AB86" s="8"/>
      <c r="AC86" s="8"/>
      <c r="AD86" s="15">
        <v>10.89817</v>
      </c>
      <c r="AE86" s="15">
        <v>12.59357</v>
      </c>
      <c r="AF86" s="8"/>
      <c r="AG86" s="8"/>
      <c r="AH86" s="8"/>
      <c r="AI86" s="15">
        <v>15.5482</v>
      </c>
      <c r="AJ86" s="8"/>
      <c r="AK86" s="8"/>
      <c r="AL86" s="15">
        <v>13.860860000000001</v>
      </c>
      <c r="AM86" s="8"/>
      <c r="AN86" s="8"/>
      <c r="AO86" s="15">
        <v>58.763199999999998</v>
      </c>
      <c r="AP86" s="8"/>
      <c r="AQ86" s="8"/>
      <c r="AR86" s="8"/>
      <c r="AS86" s="8"/>
      <c r="AT86" s="8"/>
      <c r="AU86" s="8" t="s">
        <v>514</v>
      </c>
    </row>
    <row r="87" spans="1:47" ht="26.4" hidden="1" customHeight="1">
      <c r="A87" s="8" t="s">
        <v>525</v>
      </c>
      <c r="B87" s="8" t="s">
        <v>526</v>
      </c>
      <c r="C87" s="8" t="s">
        <v>527</v>
      </c>
      <c r="D87" s="8" t="s">
        <v>25</v>
      </c>
      <c r="E87" s="8" t="s">
        <v>26</v>
      </c>
      <c r="F87" s="8"/>
      <c r="G87" s="8" t="s">
        <v>25</v>
      </c>
      <c r="H87" s="8" t="s">
        <v>27</v>
      </c>
      <c r="I87" s="8"/>
      <c r="J87" s="8"/>
      <c r="K87" s="8"/>
      <c r="L87" s="8" t="s">
        <v>25</v>
      </c>
      <c r="M87" s="8"/>
      <c r="N87" s="8" t="s">
        <v>25</v>
      </c>
      <c r="O87" s="8" t="s">
        <v>528</v>
      </c>
      <c r="P87" s="8" t="s">
        <v>529</v>
      </c>
      <c r="Q87" s="8"/>
      <c r="R87" s="8" t="s">
        <v>25</v>
      </c>
      <c r="S87" s="8"/>
      <c r="T87" s="8" t="s">
        <v>25</v>
      </c>
      <c r="U87" s="8"/>
      <c r="V87" s="8"/>
      <c r="W87" s="8"/>
      <c r="X87" s="8"/>
      <c r="Y87" s="8"/>
      <c r="Z87" s="8"/>
      <c r="AA87" s="8"/>
      <c r="AB87" s="8"/>
      <c r="AC87" s="8"/>
      <c r="AD87" s="8"/>
      <c r="AE87" s="8"/>
      <c r="AF87" s="8"/>
      <c r="AG87" s="8"/>
      <c r="AH87" s="8"/>
      <c r="AI87" s="8"/>
      <c r="AJ87" s="8"/>
      <c r="AK87" s="15">
        <v>99.91</v>
      </c>
      <c r="AL87" s="15">
        <v>99.92</v>
      </c>
      <c r="AM87" s="15">
        <v>99.92</v>
      </c>
      <c r="AN87" s="15">
        <v>99.92</v>
      </c>
      <c r="AO87" s="15">
        <v>99.94</v>
      </c>
      <c r="AP87" s="8"/>
      <c r="AQ87" s="8"/>
      <c r="AR87" s="15">
        <v>99.92</v>
      </c>
      <c r="AS87" s="8"/>
      <c r="AT87" s="8"/>
      <c r="AU87" s="8" t="s">
        <v>530</v>
      </c>
    </row>
    <row r="88" spans="1:47" ht="52.8" customHeight="1">
      <c r="A88" s="8" t="s">
        <v>531</v>
      </c>
      <c r="B88" s="8" t="s">
        <v>532</v>
      </c>
      <c r="C88" s="8" t="s">
        <v>533</v>
      </c>
      <c r="D88" s="8" t="s">
        <v>25</v>
      </c>
      <c r="E88" s="8" t="s">
        <v>26</v>
      </c>
      <c r="F88" s="8"/>
      <c r="G88" s="8" t="s">
        <v>25</v>
      </c>
      <c r="H88" s="8" t="s">
        <v>27</v>
      </c>
      <c r="I88" s="8"/>
      <c r="J88" s="8"/>
      <c r="K88" s="8"/>
      <c r="L88" s="8" t="s">
        <v>25</v>
      </c>
      <c r="M88" s="8"/>
      <c r="N88" s="8" t="s">
        <v>25</v>
      </c>
      <c r="O88" s="8" t="s">
        <v>320</v>
      </c>
      <c r="P88" s="8" t="s">
        <v>534</v>
      </c>
      <c r="Q88" s="8"/>
      <c r="R88" s="8" t="s">
        <v>25</v>
      </c>
      <c r="S88" s="8"/>
      <c r="T88" s="8" t="s">
        <v>25</v>
      </c>
      <c r="U88" s="8"/>
      <c r="V88" s="8"/>
      <c r="W88" s="8"/>
      <c r="X88" s="8"/>
      <c r="Y88" s="8"/>
      <c r="Z88" s="8"/>
      <c r="AA88" s="8"/>
      <c r="AB88" s="8"/>
      <c r="AC88" s="8"/>
      <c r="AD88" s="8"/>
      <c r="AE88" s="8"/>
      <c r="AF88" s="8"/>
      <c r="AG88" s="8"/>
      <c r="AH88" s="8"/>
      <c r="AI88" s="8"/>
      <c r="AJ88" s="8"/>
      <c r="AK88" s="8"/>
      <c r="AL88" s="8"/>
      <c r="AM88" s="8"/>
      <c r="AN88" s="8"/>
      <c r="AO88" s="8">
        <v>0.3</v>
      </c>
      <c r="AP88" s="8"/>
      <c r="AQ88" s="8">
        <v>0.1</v>
      </c>
      <c r="AR88" s="8">
        <v>0.1</v>
      </c>
      <c r="AS88" s="8">
        <v>0.2</v>
      </c>
      <c r="AT88" s="8"/>
      <c r="AU88" s="8" t="s">
        <v>535</v>
      </c>
    </row>
    <row r="89" spans="1:47" ht="14.4" hidden="1" customHeight="1">
      <c r="A89" s="8" t="s">
        <v>536</v>
      </c>
      <c r="B89" s="8" t="s">
        <v>537</v>
      </c>
      <c r="C89" s="8" t="s">
        <v>538</v>
      </c>
      <c r="D89" s="8" t="s">
        <v>25</v>
      </c>
      <c r="E89" s="8" t="s">
        <v>26</v>
      </c>
      <c r="F89" s="8"/>
      <c r="G89" s="8" t="s">
        <v>25</v>
      </c>
      <c r="H89" s="8" t="s">
        <v>27</v>
      </c>
      <c r="I89" s="8"/>
      <c r="J89" s="8"/>
      <c r="K89" s="8"/>
      <c r="L89" s="8" t="s">
        <v>25</v>
      </c>
      <c r="M89" s="8"/>
      <c r="N89" s="8" t="s">
        <v>25</v>
      </c>
      <c r="O89" s="8" t="s">
        <v>512</v>
      </c>
      <c r="P89" s="8" t="s">
        <v>539</v>
      </c>
      <c r="Q89" s="8"/>
      <c r="R89" s="8" t="s">
        <v>25</v>
      </c>
      <c r="S89" s="8"/>
      <c r="T89" s="8" t="s">
        <v>25</v>
      </c>
      <c r="U89" s="8"/>
      <c r="V89" s="8"/>
      <c r="W89" s="8"/>
      <c r="X89" s="8"/>
      <c r="Y89" s="8"/>
      <c r="Z89" s="8"/>
      <c r="AA89" s="8"/>
      <c r="AB89" s="8"/>
      <c r="AC89" s="8"/>
      <c r="AD89" s="8"/>
      <c r="AE89" s="8"/>
      <c r="AF89" s="8"/>
      <c r="AG89" s="8"/>
      <c r="AH89" s="8">
        <v>43.1</v>
      </c>
      <c r="AI89" s="8">
        <v>44.3</v>
      </c>
      <c r="AJ89" s="15">
        <v>44</v>
      </c>
      <c r="AK89" s="8">
        <v>43.2</v>
      </c>
      <c r="AL89" s="15">
        <v>44</v>
      </c>
      <c r="AM89" s="8">
        <v>44.6</v>
      </c>
      <c r="AN89" s="8">
        <v>43.2</v>
      </c>
      <c r="AO89" s="15">
        <v>43</v>
      </c>
      <c r="AP89" s="8">
        <v>44.2</v>
      </c>
      <c r="AQ89" s="8"/>
      <c r="AR89" s="8"/>
      <c r="AS89" s="8"/>
      <c r="AT89" s="8"/>
      <c r="AU89" s="8" t="s">
        <v>514</v>
      </c>
    </row>
    <row r="90" spans="1:47" ht="26.4" hidden="1" customHeight="1">
      <c r="A90" s="8" t="s">
        <v>540</v>
      </c>
      <c r="B90" s="8" t="s">
        <v>541</v>
      </c>
      <c r="C90" s="8" t="s">
        <v>542</v>
      </c>
      <c r="D90" s="8" t="s">
        <v>25</v>
      </c>
      <c r="E90" s="8" t="s">
        <v>26</v>
      </c>
      <c r="F90" s="8"/>
      <c r="G90" s="8" t="s">
        <v>25</v>
      </c>
      <c r="H90" s="8" t="s">
        <v>27</v>
      </c>
      <c r="I90" s="8"/>
      <c r="J90" s="8"/>
      <c r="K90" s="8"/>
      <c r="L90" s="8" t="s">
        <v>25</v>
      </c>
      <c r="M90" s="8"/>
      <c r="N90" s="8" t="s">
        <v>25</v>
      </c>
      <c r="O90" s="8" t="s">
        <v>543</v>
      </c>
      <c r="P90" s="8" t="s">
        <v>544</v>
      </c>
      <c r="Q90" s="8"/>
      <c r="R90" s="8" t="s">
        <v>25</v>
      </c>
      <c r="S90" s="8"/>
      <c r="T90" s="8" t="s">
        <v>25</v>
      </c>
      <c r="U90" s="8"/>
      <c r="V90" s="8"/>
      <c r="W90" s="8"/>
      <c r="X90" s="8"/>
      <c r="Y90" s="8"/>
      <c r="Z90" s="8"/>
      <c r="AA90" s="8"/>
      <c r="AB90" s="8"/>
      <c r="AC90" s="8"/>
      <c r="AD90" s="8"/>
      <c r="AE90" s="8"/>
      <c r="AF90" s="8"/>
      <c r="AG90" s="8"/>
      <c r="AH90" s="8"/>
      <c r="AI90" s="8"/>
      <c r="AJ90" s="8"/>
      <c r="AK90" s="8"/>
      <c r="AL90" s="15">
        <v>23.34</v>
      </c>
      <c r="AM90" s="8"/>
      <c r="AN90" s="8">
        <v>25.5</v>
      </c>
      <c r="AO90" s="8">
        <v>24.1</v>
      </c>
      <c r="AP90" s="8">
        <v>21.5</v>
      </c>
      <c r="AQ90" s="8">
        <v>21.5</v>
      </c>
      <c r="AR90" s="8">
        <v>21.7</v>
      </c>
      <c r="AS90" s="8">
        <v>21.5</v>
      </c>
      <c r="AT90" s="8"/>
      <c r="AU90" s="8" t="s">
        <v>545</v>
      </c>
    </row>
    <row r="91" spans="1:47" ht="14.4" hidden="1" customHeight="1">
      <c r="A91" s="8" t="s">
        <v>546</v>
      </c>
      <c r="B91" s="8" t="s">
        <v>547</v>
      </c>
      <c r="C91" s="8" t="s">
        <v>548</v>
      </c>
      <c r="D91" s="8" t="s">
        <v>25</v>
      </c>
      <c r="E91" s="8" t="s">
        <v>26</v>
      </c>
      <c r="F91" s="8"/>
      <c r="G91" s="8" t="s">
        <v>25</v>
      </c>
      <c r="H91" s="8" t="s">
        <v>27</v>
      </c>
      <c r="I91" s="8"/>
      <c r="J91" s="8"/>
      <c r="K91" s="8"/>
      <c r="L91" s="8" t="s">
        <v>25</v>
      </c>
      <c r="M91" s="8"/>
      <c r="N91" s="8" t="s">
        <v>25</v>
      </c>
      <c r="O91" s="8" t="s">
        <v>549</v>
      </c>
      <c r="P91" s="8" t="s">
        <v>547</v>
      </c>
      <c r="Q91" s="8"/>
      <c r="R91" s="8" t="s">
        <v>25</v>
      </c>
      <c r="S91" s="8"/>
      <c r="T91" s="8" t="s">
        <v>25</v>
      </c>
      <c r="U91" s="8"/>
      <c r="V91" s="8"/>
      <c r="W91" s="8"/>
      <c r="X91" s="8"/>
      <c r="Y91" s="8"/>
      <c r="Z91" s="8"/>
      <c r="AA91" s="8"/>
      <c r="AB91" s="8"/>
      <c r="AC91" s="8"/>
      <c r="AD91" s="8"/>
      <c r="AE91" s="8"/>
      <c r="AF91" s="8"/>
      <c r="AG91" s="8"/>
      <c r="AH91" s="8"/>
      <c r="AI91" s="8"/>
      <c r="AJ91" s="8"/>
      <c r="AK91" s="8"/>
      <c r="AL91" s="8"/>
      <c r="AM91" s="15">
        <v>4</v>
      </c>
      <c r="AN91" s="8"/>
      <c r="AO91" s="15">
        <v>4</v>
      </c>
      <c r="AP91" s="8"/>
      <c r="AQ91" s="8"/>
      <c r="AR91" s="8">
        <v>0.2</v>
      </c>
      <c r="AS91" s="8"/>
      <c r="AT91" s="8"/>
      <c r="AU91" s="8" t="s">
        <v>550</v>
      </c>
    </row>
    <row r="92" spans="1:47" ht="39.6" customHeight="1">
      <c r="A92" s="8" t="s">
        <v>551</v>
      </c>
      <c r="B92" s="8" t="s">
        <v>552</v>
      </c>
      <c r="C92" s="8" t="s">
        <v>553</v>
      </c>
      <c r="D92" s="8" t="s">
        <v>25</v>
      </c>
      <c r="E92" s="8" t="s">
        <v>26</v>
      </c>
      <c r="F92" s="8"/>
      <c r="G92" s="8" t="s">
        <v>25</v>
      </c>
      <c r="H92" s="8" t="s">
        <v>27</v>
      </c>
      <c r="I92" s="8"/>
      <c r="J92" s="8"/>
      <c r="K92" s="8" t="s">
        <v>554</v>
      </c>
      <c r="L92" s="8" t="s">
        <v>555</v>
      </c>
      <c r="M92" s="8"/>
      <c r="N92" s="8" t="s">
        <v>25</v>
      </c>
      <c r="O92" s="8" t="s">
        <v>556</v>
      </c>
      <c r="P92" s="8" t="s">
        <v>557</v>
      </c>
      <c r="Q92" s="8"/>
      <c r="R92" s="8" t="s">
        <v>25</v>
      </c>
      <c r="S92" s="8"/>
      <c r="T92" s="8" t="s">
        <v>25</v>
      </c>
      <c r="U92" s="8"/>
      <c r="V92" s="8"/>
      <c r="W92" s="8"/>
      <c r="X92" s="8"/>
      <c r="Y92" s="8"/>
      <c r="Z92" s="8"/>
      <c r="AA92" s="8"/>
      <c r="AB92" s="8"/>
      <c r="AC92" s="8"/>
      <c r="AD92" s="8"/>
      <c r="AE92" s="8"/>
      <c r="AF92" s="8"/>
      <c r="AG92" s="8"/>
      <c r="AH92" s="8"/>
      <c r="AI92" s="8"/>
      <c r="AJ92" s="8">
        <v>62.6</v>
      </c>
      <c r="AK92" s="8"/>
      <c r="AL92" s="8"/>
      <c r="AM92" s="8">
        <v>52.5</v>
      </c>
      <c r="AN92" s="8"/>
      <c r="AO92" s="8"/>
      <c r="AP92" s="8"/>
      <c r="AQ92" s="8"/>
      <c r="AR92" s="15">
        <v>25</v>
      </c>
      <c r="AS92" s="8"/>
      <c r="AT92" s="8">
        <v>22.4</v>
      </c>
      <c r="AU92" s="8" t="s">
        <v>558</v>
      </c>
    </row>
    <row r="93" spans="1:47" ht="26.4" hidden="1" customHeight="1">
      <c r="A93" s="8" t="s">
        <v>559</v>
      </c>
      <c r="B93" s="8" t="s">
        <v>62</v>
      </c>
      <c r="C93" s="8" t="s">
        <v>560</v>
      </c>
      <c r="D93" s="8" t="s">
        <v>25</v>
      </c>
      <c r="E93" s="8" t="s">
        <v>64</v>
      </c>
      <c r="F93" s="8"/>
      <c r="G93" s="8" t="s">
        <v>25</v>
      </c>
      <c r="H93" s="8" t="s">
        <v>27</v>
      </c>
      <c r="I93" s="8"/>
      <c r="J93" s="8"/>
      <c r="K93" s="8"/>
      <c r="L93" s="8" t="s">
        <v>25</v>
      </c>
      <c r="M93" s="8"/>
      <c r="N93" s="8" t="s">
        <v>25</v>
      </c>
      <c r="O93" s="8" t="s">
        <v>561</v>
      </c>
      <c r="P93" s="8" t="s">
        <v>66</v>
      </c>
      <c r="Q93" s="8"/>
      <c r="R93" s="8" t="s">
        <v>25</v>
      </c>
      <c r="S93" s="8"/>
      <c r="T93" s="8" t="s">
        <v>25</v>
      </c>
      <c r="U93" s="8"/>
      <c r="V93" s="8"/>
      <c r="W93" s="8"/>
      <c r="X93" s="8"/>
      <c r="Y93" s="8"/>
      <c r="Z93" s="8"/>
      <c r="AA93" s="8"/>
      <c r="AB93" s="8"/>
      <c r="AC93" s="8"/>
      <c r="AD93" s="8"/>
      <c r="AE93" s="8"/>
      <c r="AF93" s="8"/>
      <c r="AG93" s="8"/>
      <c r="AH93" s="8"/>
      <c r="AI93" s="8"/>
      <c r="AJ93" s="8"/>
      <c r="AK93" s="8"/>
      <c r="AL93" s="8">
        <v>1.59</v>
      </c>
      <c r="AM93" s="8">
        <v>0.69</v>
      </c>
      <c r="AN93" s="8">
        <v>2.1</v>
      </c>
      <c r="AO93" s="8">
        <v>1.08</v>
      </c>
      <c r="AP93" s="8">
        <v>2.35</v>
      </c>
      <c r="AQ93" s="8">
        <v>0.9</v>
      </c>
      <c r="AR93" s="8">
        <v>1.55</v>
      </c>
      <c r="AS93" s="8">
        <v>1.8</v>
      </c>
      <c r="AT93" s="8">
        <v>1.38</v>
      </c>
      <c r="AU93" s="8" t="s">
        <v>562</v>
      </c>
    </row>
    <row r="94" spans="1:47" ht="26.4" hidden="1" customHeight="1">
      <c r="A94" s="8" t="s">
        <v>563</v>
      </c>
      <c r="B94" s="8" t="s">
        <v>69</v>
      </c>
      <c r="C94" s="8" t="s">
        <v>564</v>
      </c>
      <c r="D94" s="8" t="s">
        <v>25</v>
      </c>
      <c r="E94" s="8" t="s">
        <v>57</v>
      </c>
      <c r="F94" s="8"/>
      <c r="G94" s="8" t="s">
        <v>25</v>
      </c>
      <c r="H94" s="8" t="s">
        <v>27</v>
      </c>
      <c r="I94" s="8"/>
      <c r="J94" s="8"/>
      <c r="K94" s="8"/>
      <c r="L94" s="8" t="s">
        <v>25</v>
      </c>
      <c r="M94" s="8"/>
      <c r="N94" s="8" t="s">
        <v>25</v>
      </c>
      <c r="O94" s="8" t="s">
        <v>65</v>
      </c>
      <c r="P94" s="8" t="s">
        <v>71</v>
      </c>
      <c r="Q94" s="8"/>
      <c r="R94" s="8" t="s">
        <v>25</v>
      </c>
      <c r="S94" s="8"/>
      <c r="T94" s="8" t="s">
        <v>25</v>
      </c>
      <c r="U94" s="8"/>
      <c r="V94" s="8"/>
      <c r="W94" s="8"/>
      <c r="X94" s="8"/>
      <c r="Y94" s="8"/>
      <c r="Z94" s="8"/>
      <c r="AA94" s="8"/>
      <c r="AB94" s="8"/>
      <c r="AC94" s="8"/>
      <c r="AD94" s="8"/>
      <c r="AE94" s="8"/>
      <c r="AF94" s="8"/>
      <c r="AG94" s="8"/>
      <c r="AH94" s="8"/>
      <c r="AI94" s="8"/>
      <c r="AJ94" s="8"/>
      <c r="AK94" s="8"/>
      <c r="AL94" s="8"/>
      <c r="AM94" s="8"/>
      <c r="AN94" s="8">
        <v>15910</v>
      </c>
      <c r="AO94" s="8">
        <v>5691</v>
      </c>
      <c r="AP94" s="8">
        <v>8098</v>
      </c>
      <c r="AQ94" s="8">
        <v>4808</v>
      </c>
      <c r="AR94" s="8">
        <v>4156</v>
      </c>
      <c r="AS94" s="8">
        <v>9955</v>
      </c>
      <c r="AT94" s="8">
        <v>2005</v>
      </c>
      <c r="AU94" s="8" t="s">
        <v>67</v>
      </c>
    </row>
    <row r="95" spans="1:47" ht="26.4" hidden="1" customHeight="1">
      <c r="A95" s="8" t="s">
        <v>565</v>
      </c>
      <c r="B95" s="8" t="s">
        <v>73</v>
      </c>
      <c r="C95" s="8" t="s">
        <v>566</v>
      </c>
      <c r="D95" s="8" t="s">
        <v>25</v>
      </c>
      <c r="E95" s="8" t="s">
        <v>26</v>
      </c>
      <c r="F95" s="8"/>
      <c r="G95" s="8" t="s">
        <v>25</v>
      </c>
      <c r="H95" s="8" t="s">
        <v>27</v>
      </c>
      <c r="I95" s="8"/>
      <c r="J95" s="8"/>
      <c r="K95" s="8"/>
      <c r="L95" s="8" t="s">
        <v>25</v>
      </c>
      <c r="M95" s="8"/>
      <c r="N95" s="8" t="s">
        <v>25</v>
      </c>
      <c r="O95" s="8" t="s">
        <v>75</v>
      </c>
      <c r="P95" s="8" t="s">
        <v>76</v>
      </c>
      <c r="Q95" s="8"/>
      <c r="R95" s="8" t="s">
        <v>25</v>
      </c>
      <c r="S95" s="8"/>
      <c r="T95" s="8" t="s">
        <v>25</v>
      </c>
      <c r="U95" s="8"/>
      <c r="V95" s="8"/>
      <c r="W95" s="8"/>
      <c r="X95" s="8"/>
      <c r="Y95" s="8"/>
      <c r="Z95" s="8"/>
      <c r="AA95" s="8"/>
      <c r="AB95" s="8"/>
      <c r="AC95" s="8"/>
      <c r="AD95" s="8"/>
      <c r="AE95" s="8"/>
      <c r="AF95" s="8"/>
      <c r="AG95" s="8"/>
      <c r="AH95" s="8"/>
      <c r="AI95" s="8"/>
      <c r="AJ95" s="8"/>
      <c r="AK95" s="8"/>
      <c r="AL95" s="8"/>
      <c r="AM95" s="8">
        <v>77.3</v>
      </c>
      <c r="AN95" s="8">
        <v>96.7</v>
      </c>
      <c r="AO95" s="8">
        <v>100</v>
      </c>
      <c r="AP95" s="8">
        <v>100</v>
      </c>
      <c r="AQ95" s="8">
        <v>100</v>
      </c>
      <c r="AR95" s="8">
        <v>100</v>
      </c>
      <c r="AS95" s="8">
        <v>100</v>
      </c>
      <c r="AT95" s="8"/>
      <c r="AU95" s="8" t="s">
        <v>77</v>
      </c>
    </row>
    <row r="96" spans="1:47" ht="26.4" hidden="1" customHeight="1">
      <c r="A96" s="8" t="s">
        <v>567</v>
      </c>
      <c r="B96" s="8" t="s">
        <v>62</v>
      </c>
      <c r="C96" s="8" t="s">
        <v>568</v>
      </c>
      <c r="D96" s="8" t="s">
        <v>25</v>
      </c>
      <c r="E96" s="8" t="s">
        <v>64</v>
      </c>
      <c r="F96" s="8"/>
      <c r="G96" s="8" t="s">
        <v>25</v>
      </c>
      <c r="H96" s="8" t="s">
        <v>27</v>
      </c>
      <c r="I96" s="8"/>
      <c r="J96" s="8"/>
      <c r="K96" s="8"/>
      <c r="L96" s="8" t="s">
        <v>25</v>
      </c>
      <c r="M96" s="8"/>
      <c r="N96" s="8" t="s">
        <v>25</v>
      </c>
      <c r="O96" s="8" t="s">
        <v>561</v>
      </c>
      <c r="P96" s="8" t="s">
        <v>66</v>
      </c>
      <c r="Q96" s="8"/>
      <c r="R96" s="8" t="s">
        <v>25</v>
      </c>
      <c r="S96" s="8"/>
      <c r="T96" s="8" t="s">
        <v>25</v>
      </c>
      <c r="U96" s="8"/>
      <c r="V96" s="8"/>
      <c r="W96" s="8"/>
      <c r="X96" s="8"/>
      <c r="Y96" s="8"/>
      <c r="Z96" s="8"/>
      <c r="AA96" s="8"/>
      <c r="AB96" s="8"/>
      <c r="AC96" s="8"/>
      <c r="AD96" s="8"/>
      <c r="AE96" s="8"/>
      <c r="AF96" s="8"/>
      <c r="AG96" s="8"/>
      <c r="AH96" s="8"/>
      <c r="AI96" s="8"/>
      <c r="AJ96" s="8"/>
      <c r="AK96" s="8"/>
      <c r="AL96" s="8">
        <v>1.59</v>
      </c>
      <c r="AM96" s="8">
        <v>0.69</v>
      </c>
      <c r="AN96" s="8">
        <v>2.1</v>
      </c>
      <c r="AO96" s="8">
        <v>1.08</v>
      </c>
      <c r="AP96" s="8">
        <v>2.35</v>
      </c>
      <c r="AQ96" s="8">
        <v>0.9</v>
      </c>
      <c r="AR96" s="8">
        <v>1.55</v>
      </c>
      <c r="AS96" s="8">
        <v>1.8</v>
      </c>
      <c r="AT96" s="8">
        <v>1.38</v>
      </c>
      <c r="AU96" s="8" t="s">
        <v>562</v>
      </c>
    </row>
    <row r="97" spans="1:47" ht="26.4" hidden="1" customHeight="1">
      <c r="A97" s="8" t="s">
        <v>569</v>
      </c>
      <c r="B97" s="8" t="s">
        <v>73</v>
      </c>
      <c r="C97" s="8" t="s">
        <v>570</v>
      </c>
      <c r="D97" s="8" t="s">
        <v>25</v>
      </c>
      <c r="E97" s="8" t="s">
        <v>26</v>
      </c>
      <c r="F97" s="8"/>
      <c r="G97" s="8" t="s">
        <v>25</v>
      </c>
      <c r="H97" s="8" t="s">
        <v>27</v>
      </c>
      <c r="I97" s="8"/>
      <c r="J97" s="8"/>
      <c r="K97" s="8"/>
      <c r="L97" s="8" t="s">
        <v>25</v>
      </c>
      <c r="M97" s="8"/>
      <c r="N97" s="8" t="s">
        <v>25</v>
      </c>
      <c r="O97" s="8" t="s">
        <v>75</v>
      </c>
      <c r="P97" s="8" t="s">
        <v>76</v>
      </c>
      <c r="Q97" s="8"/>
      <c r="R97" s="8" t="s">
        <v>25</v>
      </c>
      <c r="S97" s="8"/>
      <c r="T97" s="8" t="s">
        <v>25</v>
      </c>
      <c r="U97" s="8"/>
      <c r="V97" s="8"/>
      <c r="W97" s="8"/>
      <c r="X97" s="8"/>
      <c r="Y97" s="8"/>
      <c r="Z97" s="8"/>
      <c r="AA97" s="8"/>
      <c r="AB97" s="8"/>
      <c r="AC97" s="8"/>
      <c r="AD97" s="8"/>
      <c r="AE97" s="8"/>
      <c r="AF97" s="8"/>
      <c r="AG97" s="8"/>
      <c r="AH97" s="8"/>
      <c r="AI97" s="8"/>
      <c r="AJ97" s="8"/>
      <c r="AK97" s="8"/>
      <c r="AL97" s="8"/>
      <c r="AM97" s="8">
        <v>77.3</v>
      </c>
      <c r="AN97" s="8">
        <v>96.7</v>
      </c>
      <c r="AO97" s="8">
        <v>100</v>
      </c>
      <c r="AP97" s="8">
        <v>100</v>
      </c>
      <c r="AQ97" s="8">
        <v>100</v>
      </c>
      <c r="AR97" s="8">
        <v>100</v>
      </c>
      <c r="AS97" s="8">
        <v>100</v>
      </c>
      <c r="AT97" s="8"/>
      <c r="AU97" s="8" t="s">
        <v>77</v>
      </c>
    </row>
    <row r="98" spans="1:47" ht="14.4" hidden="1" customHeight="1">
      <c r="A98" s="8" t="s">
        <v>571</v>
      </c>
      <c r="B98" s="8" t="s">
        <v>572</v>
      </c>
      <c r="C98" s="8" t="s">
        <v>573</v>
      </c>
      <c r="D98" s="8" t="s">
        <v>25</v>
      </c>
      <c r="E98" s="8" t="s">
        <v>26</v>
      </c>
      <c r="F98" s="8"/>
      <c r="G98" s="8" t="s">
        <v>25</v>
      </c>
      <c r="H98" s="8" t="s">
        <v>27</v>
      </c>
      <c r="I98" s="8"/>
      <c r="J98" s="8"/>
      <c r="K98" s="8"/>
      <c r="L98" s="8" t="s">
        <v>25</v>
      </c>
      <c r="M98" s="8"/>
      <c r="N98" s="8" t="s">
        <v>25</v>
      </c>
      <c r="O98" s="8" t="s">
        <v>574</v>
      </c>
      <c r="P98" s="8" t="s">
        <v>575</v>
      </c>
      <c r="Q98" s="8"/>
      <c r="R98" s="8" t="s">
        <v>25</v>
      </c>
      <c r="S98" s="8"/>
      <c r="T98" s="8" t="s">
        <v>25</v>
      </c>
      <c r="U98" s="8"/>
      <c r="V98" s="8"/>
      <c r="W98" s="8"/>
      <c r="X98" s="8"/>
      <c r="Y98" s="8"/>
      <c r="Z98" s="8"/>
      <c r="AA98" s="8"/>
      <c r="AB98" s="8"/>
      <c r="AC98" s="8"/>
      <c r="AD98" s="8"/>
      <c r="AE98" s="15">
        <v>28</v>
      </c>
      <c r="AF98" s="8"/>
      <c r="AG98" s="8"/>
      <c r="AH98" s="8"/>
      <c r="AI98" s="8"/>
      <c r="AJ98" s="8"/>
      <c r="AK98" s="8"/>
      <c r="AL98" s="8"/>
      <c r="AM98" s="8"/>
      <c r="AN98" s="8"/>
      <c r="AO98" s="8">
        <v>30.4</v>
      </c>
      <c r="AP98" s="8"/>
      <c r="AQ98" s="8"/>
      <c r="AR98" s="8"/>
      <c r="AS98" s="8"/>
      <c r="AT98" s="8"/>
      <c r="AU98" s="8" t="s">
        <v>576</v>
      </c>
    </row>
    <row r="99" spans="1:47" ht="14.4" hidden="1" customHeight="1">
      <c r="A99" s="8" t="s">
        <v>577</v>
      </c>
      <c r="B99" s="8" t="s">
        <v>578</v>
      </c>
      <c r="C99" s="8" t="s">
        <v>579</v>
      </c>
      <c r="D99" s="8" t="s">
        <v>25</v>
      </c>
      <c r="E99" s="8" t="s">
        <v>26</v>
      </c>
      <c r="F99" s="8"/>
      <c r="G99" s="8" t="s">
        <v>25</v>
      </c>
      <c r="H99" s="8" t="s">
        <v>27</v>
      </c>
      <c r="I99" s="8"/>
      <c r="J99" s="8"/>
      <c r="K99" s="8"/>
      <c r="L99" s="8" t="s">
        <v>25</v>
      </c>
      <c r="M99" s="8"/>
      <c r="N99" s="8" t="s">
        <v>25</v>
      </c>
      <c r="O99" s="8" t="s">
        <v>580</v>
      </c>
      <c r="P99" s="8" t="s">
        <v>581</v>
      </c>
      <c r="Q99" s="8"/>
      <c r="R99" s="8" t="s">
        <v>25</v>
      </c>
      <c r="S99" s="8"/>
      <c r="T99" s="8" t="s">
        <v>25</v>
      </c>
      <c r="U99" s="8"/>
      <c r="V99" s="8"/>
      <c r="W99" s="8"/>
      <c r="X99" s="8"/>
      <c r="Y99" s="8"/>
      <c r="Z99" s="8"/>
      <c r="AA99" s="8"/>
      <c r="AB99" s="8"/>
      <c r="AC99" s="8"/>
      <c r="AD99" s="8"/>
      <c r="AE99" s="8"/>
      <c r="AF99" s="8"/>
      <c r="AG99" s="8"/>
      <c r="AH99" s="15">
        <v>10.130000000000001</v>
      </c>
      <c r="AI99" s="8"/>
      <c r="AJ99" s="8"/>
      <c r="AK99" s="8"/>
      <c r="AL99" s="15">
        <v>35</v>
      </c>
      <c r="AM99" s="8"/>
      <c r="AN99" s="8"/>
      <c r="AO99" s="8"/>
      <c r="AP99" s="8"/>
      <c r="AQ99" s="15">
        <v>53</v>
      </c>
      <c r="AR99" s="8"/>
      <c r="AS99" s="8"/>
      <c r="AT99" s="8"/>
      <c r="AU99" s="8" t="s">
        <v>582</v>
      </c>
    </row>
    <row r="100" spans="1:47" ht="14.4" hidden="1" customHeight="1">
      <c r="A100" s="8" t="s">
        <v>583</v>
      </c>
      <c r="B100" s="8" t="s">
        <v>584</v>
      </c>
      <c r="C100" s="8" t="s">
        <v>585</v>
      </c>
      <c r="D100" s="8" t="s">
        <v>25</v>
      </c>
      <c r="E100" s="8" t="s">
        <v>26</v>
      </c>
      <c r="F100" s="8"/>
      <c r="G100" s="8" t="s">
        <v>25</v>
      </c>
      <c r="H100" s="8" t="s">
        <v>27</v>
      </c>
      <c r="I100" s="8"/>
      <c r="J100" s="8"/>
      <c r="K100" s="8"/>
      <c r="L100" s="8" t="s">
        <v>25</v>
      </c>
      <c r="M100" s="8"/>
      <c r="N100" s="8" t="s">
        <v>25</v>
      </c>
      <c r="O100" s="8" t="s">
        <v>586</v>
      </c>
      <c r="P100" s="8" t="s">
        <v>587</v>
      </c>
      <c r="Q100" s="8"/>
      <c r="R100" s="8" t="s">
        <v>25</v>
      </c>
      <c r="S100" s="8"/>
      <c r="T100" s="8" t="s">
        <v>25</v>
      </c>
      <c r="U100" s="8"/>
      <c r="V100" s="8"/>
      <c r="W100" s="8"/>
      <c r="X100" s="8"/>
      <c r="Y100" s="8"/>
      <c r="Z100" s="8"/>
      <c r="AA100" s="8"/>
      <c r="AB100" s="8"/>
      <c r="AC100" s="8"/>
      <c r="AD100" s="8"/>
      <c r="AE100" s="8"/>
      <c r="AF100" s="8"/>
      <c r="AG100" s="8"/>
      <c r="AH100" s="8"/>
      <c r="AI100" s="8"/>
      <c r="AJ100" s="8"/>
      <c r="AK100" s="8"/>
      <c r="AL100" s="8">
        <v>14.1</v>
      </c>
      <c r="AM100" s="8"/>
      <c r="AN100" s="8"/>
      <c r="AO100" s="15">
        <v>33</v>
      </c>
      <c r="AP100" s="8"/>
      <c r="AQ100" s="8"/>
      <c r="AR100" s="15">
        <v>38.450000000000003</v>
      </c>
      <c r="AS100" s="8"/>
      <c r="AT100" s="8"/>
      <c r="AU100" s="8" t="s">
        <v>588</v>
      </c>
    </row>
    <row r="101" spans="1:47" ht="14.4" hidden="1" customHeight="1">
      <c r="A101" s="8" t="s">
        <v>589</v>
      </c>
      <c r="B101" s="8" t="s">
        <v>590</v>
      </c>
      <c r="C101" s="8" t="s">
        <v>591</v>
      </c>
      <c r="D101" s="8" t="s">
        <v>25</v>
      </c>
      <c r="E101" s="8" t="s">
        <v>26</v>
      </c>
      <c r="F101" s="8"/>
      <c r="G101" s="8" t="s">
        <v>25</v>
      </c>
      <c r="H101" s="8" t="s">
        <v>27</v>
      </c>
      <c r="I101" s="8"/>
      <c r="J101" s="8"/>
      <c r="K101" s="8"/>
      <c r="L101" s="8" t="s">
        <v>25</v>
      </c>
      <c r="M101" s="8"/>
      <c r="N101" s="8" t="s">
        <v>25</v>
      </c>
      <c r="O101" s="8" t="s">
        <v>592</v>
      </c>
      <c r="P101" s="8" t="s">
        <v>593</v>
      </c>
      <c r="Q101" s="8"/>
      <c r="R101" s="8" t="s">
        <v>25</v>
      </c>
      <c r="S101" s="8"/>
      <c r="T101" s="8" t="s">
        <v>25</v>
      </c>
      <c r="U101" s="8"/>
      <c r="V101" s="8"/>
      <c r="W101" s="8"/>
      <c r="X101" s="8"/>
      <c r="Y101" s="8"/>
      <c r="Z101" s="8"/>
      <c r="AA101" s="8"/>
      <c r="AB101" s="8"/>
      <c r="AC101" s="8"/>
      <c r="AD101" s="8"/>
      <c r="AE101" s="8"/>
      <c r="AF101" s="8"/>
      <c r="AG101" s="8"/>
      <c r="AH101" s="8"/>
      <c r="AI101" s="8"/>
      <c r="AJ101" s="8"/>
      <c r="AK101" s="8"/>
      <c r="AL101" s="15">
        <v>10.130000000000001</v>
      </c>
      <c r="AM101" s="8"/>
      <c r="AN101" s="8">
        <v>11.9</v>
      </c>
      <c r="AO101" s="8"/>
      <c r="AP101" s="8"/>
      <c r="AQ101" s="8"/>
      <c r="AR101" s="8"/>
      <c r="AS101" s="8"/>
      <c r="AT101" s="8"/>
      <c r="AU101" s="8" t="s">
        <v>594</v>
      </c>
    </row>
    <row r="102" spans="1:47" ht="14.4" hidden="1" customHeight="1">
      <c r="A102" s="8" t="s">
        <v>595</v>
      </c>
      <c r="B102" s="8" t="s">
        <v>596</v>
      </c>
      <c r="C102" s="8" t="s">
        <v>597</v>
      </c>
      <c r="D102" s="8" t="s">
        <v>25</v>
      </c>
      <c r="E102" s="8" t="s">
        <v>26</v>
      </c>
      <c r="F102" s="8"/>
      <c r="G102" s="8" t="s">
        <v>25</v>
      </c>
      <c r="H102" s="8" t="s">
        <v>27</v>
      </c>
      <c r="I102" s="8"/>
      <c r="J102" s="8"/>
      <c r="K102" s="8"/>
      <c r="L102" s="8" t="s">
        <v>25</v>
      </c>
      <c r="M102" s="8"/>
      <c r="N102" s="8" t="s">
        <v>25</v>
      </c>
      <c r="O102" s="8" t="s">
        <v>471</v>
      </c>
      <c r="P102" s="8" t="s">
        <v>598</v>
      </c>
      <c r="Q102" s="8"/>
      <c r="R102" s="8" t="s">
        <v>25</v>
      </c>
      <c r="S102" s="8"/>
      <c r="T102" s="8" t="s">
        <v>25</v>
      </c>
      <c r="U102" s="8"/>
      <c r="V102" s="8"/>
      <c r="W102" s="8"/>
      <c r="X102" s="8"/>
      <c r="Y102" s="8"/>
      <c r="Z102" s="8"/>
      <c r="AA102" s="8"/>
      <c r="AB102" s="8"/>
      <c r="AC102" s="8"/>
      <c r="AD102" s="8"/>
      <c r="AE102" s="8"/>
      <c r="AF102" s="8"/>
      <c r="AG102" s="8"/>
      <c r="AH102" s="8"/>
      <c r="AI102" s="8"/>
      <c r="AJ102" s="8"/>
      <c r="AK102" s="8"/>
      <c r="AL102" s="8"/>
      <c r="AM102" s="8"/>
      <c r="AN102" s="8">
        <v>0</v>
      </c>
      <c r="AO102" s="8">
        <v>0</v>
      </c>
      <c r="AP102" s="8">
        <v>0</v>
      </c>
      <c r="AQ102" s="8">
        <v>0</v>
      </c>
      <c r="AR102" s="8">
        <v>0</v>
      </c>
      <c r="AS102" s="8"/>
      <c r="AT102" s="8"/>
      <c r="AU102" s="8" t="s">
        <v>473</v>
      </c>
    </row>
    <row r="103" spans="1:47" ht="26.4" hidden="1" customHeight="1">
      <c r="A103" s="8" t="s">
        <v>599</v>
      </c>
      <c r="B103" s="8" t="s">
        <v>600</v>
      </c>
      <c r="C103" s="8" t="s">
        <v>601</v>
      </c>
      <c r="D103" s="8" t="s">
        <v>25</v>
      </c>
      <c r="E103" s="8" t="s">
        <v>64</v>
      </c>
      <c r="F103" s="8"/>
      <c r="G103" s="8" t="s">
        <v>25</v>
      </c>
      <c r="H103" s="8" t="s">
        <v>27</v>
      </c>
      <c r="I103" s="8"/>
      <c r="J103" s="8"/>
      <c r="K103" s="8"/>
      <c r="L103" s="8" t="s">
        <v>25</v>
      </c>
      <c r="M103" s="8"/>
      <c r="N103" s="8" t="s">
        <v>25</v>
      </c>
      <c r="O103" s="8" t="s">
        <v>602</v>
      </c>
      <c r="P103" s="8" t="s">
        <v>603</v>
      </c>
      <c r="Q103" s="8"/>
      <c r="R103" s="8" t="s">
        <v>25</v>
      </c>
      <c r="S103" s="8"/>
      <c r="T103" s="8" t="s">
        <v>25</v>
      </c>
      <c r="U103" s="8"/>
      <c r="V103" s="8"/>
      <c r="W103" s="8"/>
      <c r="X103" s="8"/>
      <c r="Y103" s="8"/>
      <c r="Z103" s="8"/>
      <c r="AA103" s="8"/>
      <c r="AB103" s="8"/>
      <c r="AC103" s="8"/>
      <c r="AD103" s="8"/>
      <c r="AE103" s="8"/>
      <c r="AF103" s="8"/>
      <c r="AG103" s="8"/>
      <c r="AH103" s="8"/>
      <c r="AI103" s="8"/>
      <c r="AJ103" s="8"/>
      <c r="AK103" s="8"/>
      <c r="AL103" s="8">
        <v>3.4</v>
      </c>
      <c r="AM103" s="15">
        <v>4</v>
      </c>
      <c r="AN103" s="15">
        <v>3.18</v>
      </c>
      <c r="AO103" s="15">
        <v>3.26</v>
      </c>
      <c r="AP103" s="15">
        <v>3.49</v>
      </c>
      <c r="AQ103" s="15">
        <v>3.64</v>
      </c>
      <c r="AR103" s="15">
        <v>3</v>
      </c>
      <c r="AS103" s="15">
        <v>4</v>
      </c>
      <c r="AT103" s="8"/>
      <c r="AU103" s="8" t="s">
        <v>604</v>
      </c>
    </row>
    <row r="104" spans="1:47" ht="39.6" customHeight="1">
      <c r="A104" s="8" t="s">
        <v>605</v>
      </c>
      <c r="B104" s="8" t="s">
        <v>606</v>
      </c>
      <c r="C104" s="8" t="s">
        <v>607</v>
      </c>
      <c r="D104" s="8" t="s">
        <v>25</v>
      </c>
      <c r="E104" s="8" t="s">
        <v>26</v>
      </c>
      <c r="F104" s="8"/>
      <c r="G104" s="8" t="s">
        <v>25</v>
      </c>
      <c r="H104" s="8" t="s">
        <v>27</v>
      </c>
      <c r="I104" s="8"/>
      <c r="J104" s="8"/>
      <c r="K104" s="8"/>
      <c r="L104" s="8" t="s">
        <v>25</v>
      </c>
      <c r="M104" s="8"/>
      <c r="N104" s="8" t="s">
        <v>25</v>
      </c>
      <c r="O104" s="8" t="s">
        <v>104</v>
      </c>
      <c r="P104" s="8" t="s">
        <v>608</v>
      </c>
      <c r="Q104" s="8"/>
      <c r="R104" s="8" t="s">
        <v>25</v>
      </c>
      <c r="S104" s="8"/>
      <c r="T104" s="8" t="s">
        <v>609</v>
      </c>
      <c r="U104" s="8" t="s">
        <v>610</v>
      </c>
      <c r="V104" s="8"/>
      <c r="W104" s="8"/>
      <c r="X104" s="8"/>
      <c r="Y104" s="8"/>
      <c r="Z104" s="8"/>
      <c r="AA104" s="8"/>
      <c r="AB104" s="8"/>
      <c r="AC104" s="8"/>
      <c r="AD104" s="8"/>
      <c r="AE104" s="8"/>
      <c r="AF104" s="8"/>
      <c r="AG104" s="8"/>
      <c r="AH104" s="8"/>
      <c r="AI104" s="8"/>
      <c r="AJ104" s="8"/>
      <c r="AK104" s="8">
        <v>11</v>
      </c>
      <c r="AL104" s="8"/>
      <c r="AM104" s="8"/>
      <c r="AN104" s="8"/>
      <c r="AO104" s="8"/>
      <c r="AP104" s="8">
        <v>9</v>
      </c>
      <c r="AQ104" s="8"/>
      <c r="AR104" s="8"/>
      <c r="AS104" s="8"/>
      <c r="AT104" s="8"/>
      <c r="AU104" s="8" t="s">
        <v>611</v>
      </c>
    </row>
    <row r="105" spans="1:47" ht="26.4" hidden="1" customHeight="1">
      <c r="A105" s="8" t="s">
        <v>612</v>
      </c>
      <c r="B105" s="8" t="s">
        <v>613</v>
      </c>
      <c r="C105" s="8" t="s">
        <v>614</v>
      </c>
      <c r="D105" s="8" t="s">
        <v>25</v>
      </c>
      <c r="E105" s="8" t="s">
        <v>26</v>
      </c>
      <c r="F105" s="8"/>
      <c r="G105" s="8" t="s">
        <v>25</v>
      </c>
      <c r="H105" s="8" t="s">
        <v>27</v>
      </c>
      <c r="I105" s="8"/>
      <c r="J105" s="8"/>
      <c r="K105" s="8"/>
      <c r="L105" s="8" t="s">
        <v>25</v>
      </c>
      <c r="M105" s="8"/>
      <c r="N105" s="8" t="s">
        <v>25</v>
      </c>
      <c r="O105" s="8" t="s">
        <v>602</v>
      </c>
      <c r="P105" s="8" t="s">
        <v>615</v>
      </c>
      <c r="Q105" s="8"/>
      <c r="R105" s="8" t="s">
        <v>25</v>
      </c>
      <c r="S105" s="8"/>
      <c r="T105" s="8" t="s">
        <v>25</v>
      </c>
      <c r="U105" s="8"/>
      <c r="V105" s="8"/>
      <c r="W105" s="8"/>
      <c r="X105" s="8"/>
      <c r="Y105" s="8"/>
      <c r="Z105" s="8"/>
      <c r="AA105" s="8"/>
      <c r="AB105" s="8"/>
      <c r="AC105" s="8"/>
      <c r="AD105" s="8"/>
      <c r="AE105" s="8"/>
      <c r="AF105" s="8"/>
      <c r="AG105" s="8"/>
      <c r="AH105" s="8"/>
      <c r="AI105" s="8"/>
      <c r="AJ105" s="8"/>
      <c r="AK105" s="8"/>
      <c r="AL105" s="15">
        <v>79</v>
      </c>
      <c r="AM105" s="15">
        <v>87</v>
      </c>
      <c r="AN105" s="15">
        <v>88</v>
      </c>
      <c r="AO105" s="8">
        <v>87.1</v>
      </c>
      <c r="AP105" s="8">
        <v>80.3</v>
      </c>
      <c r="AQ105" s="15">
        <v>80</v>
      </c>
      <c r="AR105" s="15">
        <v>80</v>
      </c>
      <c r="AS105" s="15">
        <v>80</v>
      </c>
      <c r="AT105" s="15">
        <v>80</v>
      </c>
      <c r="AU105" s="8" t="s">
        <v>604</v>
      </c>
    </row>
    <row r="106" spans="1:47" ht="26.4" hidden="1" customHeight="1">
      <c r="A106" s="8" t="s">
        <v>616</v>
      </c>
      <c r="B106" s="8" t="s">
        <v>617</v>
      </c>
      <c r="C106" s="8" t="s">
        <v>618</v>
      </c>
      <c r="D106" s="8" t="s">
        <v>25</v>
      </c>
      <c r="E106" s="8" t="s">
        <v>26</v>
      </c>
      <c r="F106" s="8"/>
      <c r="G106" s="8" t="s">
        <v>25</v>
      </c>
      <c r="H106" s="8" t="s">
        <v>27</v>
      </c>
      <c r="I106" s="8"/>
      <c r="J106" s="8"/>
      <c r="K106" s="8"/>
      <c r="L106" s="8" t="s">
        <v>25</v>
      </c>
      <c r="M106" s="8"/>
      <c r="N106" s="8" t="s">
        <v>25</v>
      </c>
      <c r="O106" s="8" t="s">
        <v>602</v>
      </c>
      <c r="P106" s="8" t="s">
        <v>619</v>
      </c>
      <c r="Q106" s="8"/>
      <c r="R106" s="8" t="s">
        <v>25</v>
      </c>
      <c r="S106" s="8"/>
      <c r="T106" s="8" t="s">
        <v>25</v>
      </c>
      <c r="U106" s="8"/>
      <c r="V106" s="8"/>
      <c r="W106" s="8"/>
      <c r="X106" s="8"/>
      <c r="Y106" s="8"/>
      <c r="Z106" s="8"/>
      <c r="AA106" s="8"/>
      <c r="AB106" s="8"/>
      <c r="AC106" s="8"/>
      <c r="AD106" s="8"/>
      <c r="AE106" s="8"/>
      <c r="AF106" s="8"/>
      <c r="AG106" s="8"/>
      <c r="AH106" s="8"/>
      <c r="AI106" s="8"/>
      <c r="AJ106" s="8"/>
      <c r="AK106" s="8"/>
      <c r="AL106" s="8"/>
      <c r="AM106" s="8"/>
      <c r="AN106" s="8"/>
      <c r="AO106" s="8"/>
      <c r="AP106" s="15">
        <v>15</v>
      </c>
      <c r="AQ106" s="8">
        <v>16.899999999999999</v>
      </c>
      <c r="AR106" s="15">
        <v>15</v>
      </c>
      <c r="AS106" s="15">
        <v>6</v>
      </c>
      <c r="AT106" s="15">
        <v>15</v>
      </c>
      <c r="AU106" s="8" t="s">
        <v>604</v>
      </c>
    </row>
    <row r="107" spans="1:47" ht="14.4" hidden="1" customHeight="1">
      <c r="A107" s="8" t="s">
        <v>620</v>
      </c>
      <c r="B107" s="8" t="s">
        <v>621</v>
      </c>
      <c r="C107" s="8" t="s">
        <v>622</v>
      </c>
      <c r="D107" s="8" t="s">
        <v>25</v>
      </c>
      <c r="E107" s="8" t="s">
        <v>26</v>
      </c>
      <c r="F107" s="8"/>
      <c r="G107" s="8" t="s">
        <v>25</v>
      </c>
      <c r="H107" s="8" t="s">
        <v>27</v>
      </c>
      <c r="I107" s="8"/>
      <c r="J107" s="8"/>
      <c r="K107" s="8"/>
      <c r="L107" s="8" t="s">
        <v>25</v>
      </c>
      <c r="M107" s="8"/>
      <c r="N107" s="8" t="s">
        <v>25</v>
      </c>
      <c r="O107" s="8" t="s">
        <v>623</v>
      </c>
      <c r="P107" s="8" t="s">
        <v>624</v>
      </c>
      <c r="Q107" s="8"/>
      <c r="R107" s="8" t="s">
        <v>25</v>
      </c>
      <c r="S107" s="8"/>
      <c r="T107" s="8" t="s">
        <v>25</v>
      </c>
      <c r="U107" s="8"/>
      <c r="V107" s="8"/>
      <c r="W107" s="8"/>
      <c r="X107" s="8"/>
      <c r="Y107" s="8"/>
      <c r="Z107" s="8"/>
      <c r="AA107" s="8"/>
      <c r="AB107" s="8"/>
      <c r="AC107" s="8"/>
      <c r="AD107" s="8"/>
      <c r="AE107" s="8"/>
      <c r="AF107" s="8"/>
      <c r="AG107" s="8"/>
      <c r="AH107" s="8"/>
      <c r="AI107" s="8"/>
      <c r="AJ107" s="8"/>
      <c r="AK107" s="8"/>
      <c r="AL107" s="15">
        <v>0.47</v>
      </c>
      <c r="AM107" s="15">
        <v>0.75</v>
      </c>
      <c r="AN107" s="15">
        <v>0.52</v>
      </c>
      <c r="AO107" s="15">
        <v>0.72</v>
      </c>
      <c r="AP107" s="15">
        <v>0.47</v>
      </c>
      <c r="AQ107" s="8">
        <v>0.3</v>
      </c>
      <c r="AR107" s="15">
        <v>0.44</v>
      </c>
      <c r="AS107" s="8"/>
      <c r="AT107" s="8"/>
      <c r="AU107" s="8" t="s">
        <v>625</v>
      </c>
    </row>
    <row r="108" spans="1:47" ht="26.4" hidden="1" customHeight="1">
      <c r="A108" s="8" t="s">
        <v>626</v>
      </c>
      <c r="B108" s="8" t="s">
        <v>627</v>
      </c>
      <c r="C108" s="8" t="s">
        <v>628</v>
      </c>
      <c r="D108" s="8" t="s">
        <v>25</v>
      </c>
      <c r="E108" s="8" t="s">
        <v>26</v>
      </c>
      <c r="F108" s="8"/>
      <c r="G108" s="8" t="s">
        <v>25</v>
      </c>
      <c r="H108" s="8" t="s">
        <v>27</v>
      </c>
      <c r="I108" s="8"/>
      <c r="J108" s="8"/>
      <c r="K108" s="8"/>
      <c r="L108" s="8" t="s">
        <v>25</v>
      </c>
      <c r="M108" s="8"/>
      <c r="N108" s="8" t="s">
        <v>25</v>
      </c>
      <c r="O108" s="8" t="s">
        <v>602</v>
      </c>
      <c r="P108" s="8" t="s">
        <v>627</v>
      </c>
      <c r="Q108" s="8"/>
      <c r="R108" s="8" t="s">
        <v>25</v>
      </c>
      <c r="S108" s="8"/>
      <c r="T108" s="8" t="s">
        <v>609</v>
      </c>
      <c r="U108" s="8" t="s">
        <v>610</v>
      </c>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v>5.3</v>
      </c>
      <c r="AT108" s="8">
        <v>5.0999999999999996</v>
      </c>
      <c r="AU108" s="8" t="s">
        <v>604</v>
      </c>
    </row>
    <row r="109" spans="1:47" ht="26.4" hidden="1" customHeight="1">
      <c r="A109" s="8" t="s">
        <v>629</v>
      </c>
      <c r="B109" s="8" t="s">
        <v>630</v>
      </c>
      <c r="C109" s="8" t="s">
        <v>631</v>
      </c>
      <c r="D109" s="8" t="s">
        <v>25</v>
      </c>
      <c r="E109" s="8" t="s">
        <v>26</v>
      </c>
      <c r="F109" s="8"/>
      <c r="G109" s="8" t="s">
        <v>25</v>
      </c>
      <c r="H109" s="8" t="s">
        <v>27</v>
      </c>
      <c r="I109" s="8"/>
      <c r="J109" s="8"/>
      <c r="K109" s="8"/>
      <c r="L109" s="8" t="s">
        <v>25</v>
      </c>
      <c r="M109" s="8"/>
      <c r="N109" s="8" t="s">
        <v>25</v>
      </c>
      <c r="O109" s="8" t="s">
        <v>602</v>
      </c>
      <c r="P109" s="8" t="s">
        <v>630</v>
      </c>
      <c r="Q109" s="8"/>
      <c r="R109" s="8" t="s">
        <v>25</v>
      </c>
      <c r="S109" s="8"/>
      <c r="T109" s="8" t="s">
        <v>25</v>
      </c>
      <c r="U109" s="8"/>
      <c r="V109" s="8"/>
      <c r="W109" s="8"/>
      <c r="X109" s="8"/>
      <c r="Y109" s="8"/>
      <c r="Z109" s="8"/>
      <c r="AA109" s="8"/>
      <c r="AB109" s="8"/>
      <c r="AC109" s="8"/>
      <c r="AD109" s="8"/>
      <c r="AE109" s="8"/>
      <c r="AF109" s="8"/>
      <c r="AG109" s="8"/>
      <c r="AH109" s="8"/>
      <c r="AI109" s="8"/>
      <c r="AJ109" s="8"/>
      <c r="AK109" s="8"/>
      <c r="AL109" s="8"/>
      <c r="AM109" s="8"/>
      <c r="AN109" s="8"/>
      <c r="AO109" s="8"/>
      <c r="AP109" s="8"/>
      <c r="AQ109" s="8">
        <v>7.5</v>
      </c>
      <c r="AR109" s="8"/>
      <c r="AS109" s="8">
        <v>7.3</v>
      </c>
      <c r="AT109" s="8">
        <v>6.4</v>
      </c>
      <c r="AU109" s="8" t="s">
        <v>604</v>
      </c>
    </row>
    <row r="110" spans="1:47" ht="14.4" hidden="1" customHeight="1">
      <c r="A110" s="8" t="s">
        <v>632</v>
      </c>
      <c r="B110" s="8" t="s">
        <v>633</v>
      </c>
      <c r="C110" s="8" t="s">
        <v>634</v>
      </c>
      <c r="D110" s="8" t="s">
        <v>25</v>
      </c>
      <c r="E110" s="8" t="s">
        <v>26</v>
      </c>
      <c r="F110" s="8"/>
      <c r="G110" s="8" t="s">
        <v>25</v>
      </c>
      <c r="H110" s="8" t="s">
        <v>27</v>
      </c>
      <c r="I110" s="8"/>
      <c r="J110" s="8"/>
      <c r="K110" s="8"/>
      <c r="L110" s="8" t="s">
        <v>25</v>
      </c>
      <c r="M110" s="8"/>
      <c r="N110" s="8" t="s">
        <v>25</v>
      </c>
      <c r="O110" s="8" t="s">
        <v>635</v>
      </c>
      <c r="P110" s="8" t="s">
        <v>636</v>
      </c>
      <c r="Q110" s="8"/>
      <c r="R110" s="8" t="s">
        <v>25</v>
      </c>
      <c r="S110" s="8"/>
      <c r="T110" s="8" t="s">
        <v>25</v>
      </c>
      <c r="U110" s="8"/>
      <c r="V110" s="8"/>
      <c r="W110" s="8"/>
      <c r="X110" s="8"/>
      <c r="Y110" s="8"/>
      <c r="Z110" s="8"/>
      <c r="AA110" s="8"/>
      <c r="AB110" s="8"/>
      <c r="AC110" s="8"/>
      <c r="AD110" s="8"/>
      <c r="AE110" s="8"/>
      <c r="AF110" s="8"/>
      <c r="AG110" s="8"/>
      <c r="AH110" s="8"/>
      <c r="AI110" s="8"/>
      <c r="AJ110" s="8"/>
      <c r="AK110" s="15">
        <v>5</v>
      </c>
      <c r="AL110" s="15">
        <v>5</v>
      </c>
      <c r="AM110" s="15">
        <v>6</v>
      </c>
      <c r="AN110" s="15">
        <v>6</v>
      </c>
      <c r="AO110" s="15">
        <v>9</v>
      </c>
      <c r="AP110" s="15">
        <v>14</v>
      </c>
      <c r="AQ110" s="8">
        <v>10.9</v>
      </c>
      <c r="AR110" s="8">
        <v>13.6</v>
      </c>
      <c r="AS110" s="8"/>
      <c r="AT110" s="8"/>
      <c r="AU110" s="8" t="s">
        <v>637</v>
      </c>
    </row>
    <row r="111" spans="1:47" ht="26.4" hidden="1" customHeight="1">
      <c r="A111" s="8" t="s">
        <v>638</v>
      </c>
      <c r="B111" s="8" t="s">
        <v>639</v>
      </c>
      <c r="C111" s="8" t="s">
        <v>640</v>
      </c>
      <c r="D111" s="8" t="s">
        <v>25</v>
      </c>
      <c r="E111" s="8" t="s">
        <v>26</v>
      </c>
      <c r="F111" s="8"/>
      <c r="G111" s="8" t="s">
        <v>25</v>
      </c>
      <c r="H111" s="8" t="s">
        <v>27</v>
      </c>
      <c r="I111" s="8"/>
      <c r="J111" s="8"/>
      <c r="K111" s="8"/>
      <c r="L111" s="8" t="s">
        <v>25</v>
      </c>
      <c r="M111" s="8"/>
      <c r="N111" s="8" t="s">
        <v>25</v>
      </c>
      <c r="O111" s="8" t="s">
        <v>602</v>
      </c>
      <c r="P111" s="8" t="s">
        <v>641</v>
      </c>
      <c r="Q111" s="8"/>
      <c r="R111" s="8" t="s">
        <v>25</v>
      </c>
      <c r="S111" s="8"/>
      <c r="T111" s="8" t="s">
        <v>25</v>
      </c>
      <c r="U111" s="8"/>
      <c r="V111" s="8"/>
      <c r="W111" s="8"/>
      <c r="X111" s="8"/>
      <c r="Y111" s="8"/>
      <c r="Z111" s="8"/>
      <c r="AA111" s="8"/>
      <c r="AB111" s="8"/>
      <c r="AC111" s="8"/>
      <c r="AD111" s="8"/>
      <c r="AE111" s="8"/>
      <c r="AF111" s="8"/>
      <c r="AG111" s="8"/>
      <c r="AH111" s="8"/>
      <c r="AI111" s="8"/>
      <c r="AJ111" s="8"/>
      <c r="AK111" s="8">
        <v>17.5</v>
      </c>
      <c r="AL111" s="8">
        <v>24.4</v>
      </c>
      <c r="AM111" s="8">
        <v>23.9</v>
      </c>
      <c r="AN111" s="8">
        <v>20.399999999999999</v>
      </c>
      <c r="AO111" s="8">
        <v>18.5</v>
      </c>
      <c r="AP111" s="8">
        <v>19.2</v>
      </c>
      <c r="AQ111" s="8">
        <v>22.9</v>
      </c>
      <c r="AR111" s="8">
        <v>29.1</v>
      </c>
      <c r="AS111" s="8">
        <v>23.5</v>
      </c>
      <c r="AT111" s="8">
        <v>13.2</v>
      </c>
      <c r="AU111" s="8" t="s">
        <v>604</v>
      </c>
    </row>
    <row r="112" spans="1:47" ht="26.4" hidden="1" customHeight="1">
      <c r="A112" s="8" t="s">
        <v>642</v>
      </c>
      <c r="B112" s="8" t="s">
        <v>643</v>
      </c>
      <c r="C112" s="8" t="s">
        <v>644</v>
      </c>
      <c r="D112" s="8" t="s">
        <v>25</v>
      </c>
      <c r="E112" s="8" t="s">
        <v>26</v>
      </c>
      <c r="F112" s="8"/>
      <c r="G112" s="8" t="s">
        <v>25</v>
      </c>
      <c r="H112" s="8" t="s">
        <v>27</v>
      </c>
      <c r="I112" s="8"/>
      <c r="J112" s="8"/>
      <c r="K112" s="8"/>
      <c r="L112" s="8" t="s">
        <v>25</v>
      </c>
      <c r="M112" s="8"/>
      <c r="N112" s="8" t="s">
        <v>25</v>
      </c>
      <c r="O112" s="8" t="s">
        <v>602</v>
      </c>
      <c r="P112" s="8" t="s">
        <v>645</v>
      </c>
      <c r="Q112" s="8"/>
      <c r="R112" s="8" t="s">
        <v>25</v>
      </c>
      <c r="S112" s="8"/>
      <c r="T112" s="8" t="s">
        <v>25</v>
      </c>
      <c r="U112" s="8"/>
      <c r="V112" s="8"/>
      <c r="W112" s="8"/>
      <c r="X112" s="8"/>
      <c r="Y112" s="8"/>
      <c r="Z112" s="8"/>
      <c r="AA112" s="8"/>
      <c r="AB112" s="8"/>
      <c r="AC112" s="8"/>
      <c r="AD112" s="8"/>
      <c r="AE112" s="8"/>
      <c r="AF112" s="8"/>
      <c r="AG112" s="8"/>
      <c r="AH112" s="8"/>
      <c r="AI112" s="8"/>
      <c r="AJ112" s="8"/>
      <c r="AK112" s="8"/>
      <c r="AL112" s="8"/>
      <c r="AM112" s="8"/>
      <c r="AN112" s="8"/>
      <c r="AO112" s="8"/>
      <c r="AP112" s="8">
        <v>12.2</v>
      </c>
      <c r="AQ112" s="8">
        <v>8.1999999999999993</v>
      </c>
      <c r="AR112" s="8">
        <v>12.8</v>
      </c>
      <c r="AS112" s="8">
        <v>12.8</v>
      </c>
      <c r="AT112" s="8">
        <v>12.8</v>
      </c>
      <c r="AU112" s="8" t="s">
        <v>604</v>
      </c>
    </row>
    <row r="113" spans="1:47" ht="14.4" hidden="1" customHeight="1">
      <c r="A113" s="8" t="s">
        <v>646</v>
      </c>
      <c r="B113" s="8" t="s">
        <v>647</v>
      </c>
      <c r="C113" s="8" t="s">
        <v>648</v>
      </c>
      <c r="D113" s="8" t="s">
        <v>25</v>
      </c>
      <c r="E113" s="8" t="s">
        <v>26</v>
      </c>
      <c r="F113" s="8"/>
      <c r="G113" s="8" t="s">
        <v>25</v>
      </c>
      <c r="H113" s="8" t="s">
        <v>27</v>
      </c>
      <c r="I113" s="8"/>
      <c r="J113" s="8"/>
      <c r="K113" s="8"/>
      <c r="L113" s="8" t="s">
        <v>25</v>
      </c>
      <c r="M113" s="8"/>
      <c r="N113" s="8" t="s">
        <v>25</v>
      </c>
      <c r="O113" s="8" t="s">
        <v>649</v>
      </c>
      <c r="P113" s="8" t="s">
        <v>650</v>
      </c>
      <c r="Q113" s="8"/>
      <c r="R113" s="8" t="s">
        <v>25</v>
      </c>
      <c r="S113" s="8"/>
      <c r="T113" s="8" t="s">
        <v>25</v>
      </c>
      <c r="U113" s="8"/>
      <c r="V113" s="8"/>
      <c r="W113" s="8"/>
      <c r="X113" s="8"/>
      <c r="Y113" s="8"/>
      <c r="Z113" s="8"/>
      <c r="AA113" s="8"/>
      <c r="AB113" s="8"/>
      <c r="AC113" s="8"/>
      <c r="AD113" s="8"/>
      <c r="AE113" s="8"/>
      <c r="AF113" s="8"/>
      <c r="AG113" s="8"/>
      <c r="AH113" s="8"/>
      <c r="AI113" s="8"/>
      <c r="AJ113" s="8"/>
      <c r="AK113" s="8"/>
      <c r="AL113" s="8"/>
      <c r="AM113" s="8">
        <v>47.2</v>
      </c>
      <c r="AN113" s="8"/>
      <c r="AO113" s="15">
        <v>49</v>
      </c>
      <c r="AP113" s="15">
        <v>50</v>
      </c>
      <c r="AQ113" s="8"/>
      <c r="AR113" s="8"/>
      <c r="AS113" s="8"/>
      <c r="AT113" s="8"/>
      <c r="AU113" s="8" t="s">
        <v>651</v>
      </c>
    </row>
    <row r="114" spans="1:47" ht="26.4" hidden="1" customHeight="1">
      <c r="A114" s="8" t="s">
        <v>652</v>
      </c>
      <c r="B114" s="8" t="s">
        <v>653</v>
      </c>
      <c r="C114" s="8" t="s">
        <v>654</v>
      </c>
      <c r="D114" s="8" t="s">
        <v>25</v>
      </c>
      <c r="E114" s="8" t="s">
        <v>26</v>
      </c>
      <c r="F114" s="8"/>
      <c r="G114" s="8" t="s">
        <v>25</v>
      </c>
      <c r="H114" s="8" t="s">
        <v>27</v>
      </c>
      <c r="I114" s="8"/>
      <c r="J114" s="8"/>
      <c r="K114" s="8"/>
      <c r="L114" s="8" t="s">
        <v>25</v>
      </c>
      <c r="M114" s="8"/>
      <c r="N114" s="8" t="s">
        <v>25</v>
      </c>
      <c r="O114" s="8" t="s">
        <v>602</v>
      </c>
      <c r="P114" s="8" t="s">
        <v>655</v>
      </c>
      <c r="Q114" s="8"/>
      <c r="R114" s="8" t="s">
        <v>25</v>
      </c>
      <c r="S114" s="8"/>
      <c r="T114" s="8" t="s">
        <v>25</v>
      </c>
      <c r="U114" s="8"/>
      <c r="V114" s="8"/>
      <c r="W114" s="8"/>
      <c r="X114" s="8"/>
      <c r="Y114" s="8"/>
      <c r="Z114" s="8"/>
      <c r="AA114" s="8"/>
      <c r="AB114" s="8"/>
      <c r="AC114" s="8"/>
      <c r="AD114" s="8"/>
      <c r="AE114" s="8"/>
      <c r="AF114" s="8"/>
      <c r="AG114" s="8"/>
      <c r="AH114" s="8"/>
      <c r="AI114" s="8"/>
      <c r="AJ114" s="8">
        <v>66.2</v>
      </c>
      <c r="AK114" s="8">
        <v>70.400000000000006</v>
      </c>
      <c r="AL114" s="8">
        <v>72.900000000000006</v>
      </c>
      <c r="AM114" s="15">
        <v>74.25</v>
      </c>
      <c r="AN114" s="15">
        <v>70.540000000000006</v>
      </c>
      <c r="AO114" s="8">
        <v>78.3</v>
      </c>
      <c r="AP114" s="15">
        <v>81.86</v>
      </c>
      <c r="AQ114" s="15">
        <v>77.69</v>
      </c>
      <c r="AR114" s="15">
        <v>78.28</v>
      </c>
      <c r="AS114" s="15">
        <v>75</v>
      </c>
      <c r="AT114" s="8">
        <v>76.099999999999994</v>
      </c>
      <c r="AU114" s="8" t="s">
        <v>604</v>
      </c>
    </row>
    <row r="115" spans="1:47" ht="26.4" hidden="1" customHeight="1">
      <c r="A115" s="8" t="s">
        <v>656</v>
      </c>
      <c r="B115" s="8" t="s">
        <v>657</v>
      </c>
      <c r="C115" s="8" t="s">
        <v>658</v>
      </c>
      <c r="D115" s="8" t="s">
        <v>25</v>
      </c>
      <c r="E115" s="8" t="s">
        <v>26</v>
      </c>
      <c r="F115" s="8"/>
      <c r="G115" s="8" t="s">
        <v>25</v>
      </c>
      <c r="H115" s="8" t="s">
        <v>27</v>
      </c>
      <c r="I115" s="8"/>
      <c r="J115" s="8"/>
      <c r="K115" s="8"/>
      <c r="L115" s="8" t="s">
        <v>25</v>
      </c>
      <c r="M115" s="8"/>
      <c r="N115" s="8" t="s">
        <v>25</v>
      </c>
      <c r="O115" s="8" t="s">
        <v>602</v>
      </c>
      <c r="P115" s="8" t="s">
        <v>659</v>
      </c>
      <c r="Q115" s="8"/>
      <c r="R115" s="8" t="s">
        <v>25</v>
      </c>
      <c r="S115" s="8"/>
      <c r="T115" s="8" t="s">
        <v>25</v>
      </c>
      <c r="U115" s="8"/>
      <c r="V115" s="8"/>
      <c r="W115" s="8"/>
      <c r="X115" s="8"/>
      <c r="Y115" s="8"/>
      <c r="Z115" s="8"/>
      <c r="AA115" s="8"/>
      <c r="AB115" s="8"/>
      <c r="AC115" s="8"/>
      <c r="AD115" s="8"/>
      <c r="AE115" s="8"/>
      <c r="AF115" s="8"/>
      <c r="AG115" s="8"/>
      <c r="AH115" s="8"/>
      <c r="AI115" s="15">
        <v>74.23</v>
      </c>
      <c r="AJ115" s="15">
        <v>75.260000000000005</v>
      </c>
      <c r="AK115" s="15">
        <v>75.36</v>
      </c>
      <c r="AL115" s="15">
        <v>77.010000000000005</v>
      </c>
      <c r="AM115" s="15">
        <v>76.790000000000006</v>
      </c>
      <c r="AN115" s="15">
        <v>73</v>
      </c>
      <c r="AO115" s="15">
        <v>81.96</v>
      </c>
      <c r="AP115" s="15">
        <v>84.19</v>
      </c>
      <c r="AQ115" s="15">
        <v>87.07</v>
      </c>
      <c r="AR115" s="8"/>
      <c r="AS115" s="15">
        <v>84</v>
      </c>
      <c r="AT115" s="8">
        <v>88.4</v>
      </c>
      <c r="AU115" s="8" t="s">
        <v>604</v>
      </c>
    </row>
    <row r="116" spans="1:47" ht="26.4" hidden="1" customHeight="1">
      <c r="A116" s="8" t="s">
        <v>660</v>
      </c>
      <c r="B116" s="8" t="s">
        <v>661</v>
      </c>
      <c r="C116" s="8" t="s">
        <v>662</v>
      </c>
      <c r="D116" s="8" t="s">
        <v>25</v>
      </c>
      <c r="E116" s="8" t="s">
        <v>26</v>
      </c>
      <c r="F116" s="8"/>
      <c r="G116" s="8" t="s">
        <v>25</v>
      </c>
      <c r="H116" s="8" t="s">
        <v>27</v>
      </c>
      <c r="I116" s="8"/>
      <c r="J116" s="8"/>
      <c r="K116" s="8"/>
      <c r="L116" s="8" t="s">
        <v>25</v>
      </c>
      <c r="M116" s="8"/>
      <c r="N116" s="8" t="s">
        <v>25</v>
      </c>
      <c r="O116" s="8" t="s">
        <v>663</v>
      </c>
      <c r="P116" s="8" t="s">
        <v>664</v>
      </c>
      <c r="Q116" s="8"/>
      <c r="R116" s="8" t="s">
        <v>111</v>
      </c>
      <c r="S116" s="8" t="s">
        <v>112</v>
      </c>
      <c r="T116" s="8" t="s">
        <v>25</v>
      </c>
      <c r="U116" s="8"/>
      <c r="V116" s="8"/>
      <c r="W116" s="8"/>
      <c r="X116" s="8"/>
      <c r="Y116" s="8"/>
      <c r="Z116" s="8"/>
      <c r="AA116" s="8"/>
      <c r="AB116" s="8"/>
      <c r="AC116" s="8"/>
      <c r="AD116" s="8"/>
      <c r="AE116" s="8"/>
      <c r="AF116" s="8"/>
      <c r="AG116" s="8"/>
      <c r="AH116" s="8"/>
      <c r="AI116" s="8"/>
      <c r="AJ116" s="8"/>
      <c r="AK116" s="15">
        <v>56</v>
      </c>
      <c r="AL116" s="8"/>
      <c r="AM116" s="8"/>
      <c r="AN116" s="8"/>
      <c r="AO116" s="8"/>
      <c r="AP116" s="8">
        <v>85.6</v>
      </c>
      <c r="AQ116" s="8"/>
      <c r="AR116" s="8">
        <v>94.3</v>
      </c>
      <c r="AS116" s="8"/>
      <c r="AT116" s="8"/>
      <c r="AU116" s="8" t="s">
        <v>665</v>
      </c>
    </row>
    <row r="117" spans="1:47" ht="39.6" customHeight="1">
      <c r="A117" s="8" t="s">
        <v>666</v>
      </c>
      <c r="B117" s="11" t="s">
        <v>532</v>
      </c>
      <c r="C117" s="8" t="s">
        <v>667</v>
      </c>
      <c r="D117" s="8" t="s">
        <v>25</v>
      </c>
      <c r="E117" s="8" t="s">
        <v>26</v>
      </c>
      <c r="F117" s="8"/>
      <c r="G117" s="8" t="s">
        <v>25</v>
      </c>
      <c r="H117" s="8" t="s">
        <v>27</v>
      </c>
      <c r="I117" s="8"/>
      <c r="J117" s="8"/>
      <c r="K117" s="8"/>
      <c r="L117" s="8" t="s">
        <v>25</v>
      </c>
      <c r="M117" s="8"/>
      <c r="N117" s="8" t="s">
        <v>25</v>
      </c>
      <c r="O117" s="8" t="s">
        <v>320</v>
      </c>
      <c r="P117" s="8" t="s">
        <v>534</v>
      </c>
      <c r="Q117" s="8"/>
      <c r="R117" s="8" t="s">
        <v>25</v>
      </c>
      <c r="S117" s="8"/>
      <c r="T117" s="8" t="s">
        <v>25</v>
      </c>
      <c r="U117" s="8"/>
      <c r="V117" s="8"/>
      <c r="W117" s="8"/>
      <c r="X117" s="8"/>
      <c r="Y117" s="8"/>
      <c r="Z117" s="8"/>
      <c r="AA117" s="8"/>
      <c r="AB117" s="8"/>
      <c r="AC117" s="8"/>
      <c r="AD117" s="8"/>
      <c r="AE117" s="8"/>
      <c r="AF117" s="8"/>
      <c r="AG117" s="8"/>
      <c r="AH117" s="8"/>
      <c r="AI117" s="8"/>
      <c r="AJ117" s="8"/>
      <c r="AK117" s="8"/>
      <c r="AL117" s="8"/>
      <c r="AM117" s="8"/>
      <c r="AN117" s="8"/>
      <c r="AO117" s="8">
        <v>0.3</v>
      </c>
      <c r="AP117" s="8"/>
      <c r="AQ117" s="8">
        <v>0.1</v>
      </c>
      <c r="AR117" s="8">
        <v>0.1</v>
      </c>
      <c r="AS117" s="8">
        <v>0.2</v>
      </c>
      <c r="AT117" s="8"/>
      <c r="AU117" s="8" t="s">
        <v>668</v>
      </c>
    </row>
    <row r="118" spans="1:47" ht="14.4" hidden="1" customHeight="1">
      <c r="A118" s="8" t="s">
        <v>669</v>
      </c>
      <c r="B118" s="8" t="s">
        <v>670</v>
      </c>
      <c r="C118" s="8" t="s">
        <v>671</v>
      </c>
      <c r="D118" s="8" t="s">
        <v>25</v>
      </c>
      <c r="E118" s="8" t="s">
        <v>26</v>
      </c>
      <c r="F118" s="8"/>
      <c r="G118" s="8" t="s">
        <v>25</v>
      </c>
      <c r="H118" s="8" t="s">
        <v>27</v>
      </c>
      <c r="I118" s="8"/>
      <c r="J118" s="8"/>
      <c r="K118" s="8"/>
      <c r="L118" s="8" t="s">
        <v>25</v>
      </c>
      <c r="M118" s="8"/>
      <c r="N118" s="8" t="s">
        <v>25</v>
      </c>
      <c r="O118" s="8" t="s">
        <v>672</v>
      </c>
      <c r="P118" s="8" t="s">
        <v>673</v>
      </c>
      <c r="Q118" s="8"/>
      <c r="R118" s="8" t="s">
        <v>25</v>
      </c>
      <c r="S118" s="8"/>
      <c r="T118" s="8" t="s">
        <v>25</v>
      </c>
      <c r="U118" s="8"/>
      <c r="V118" s="8"/>
      <c r="W118" s="8"/>
      <c r="X118" s="8"/>
      <c r="Y118" s="8"/>
      <c r="Z118" s="8"/>
      <c r="AA118" s="8"/>
      <c r="AB118" s="8"/>
      <c r="AC118" s="8"/>
      <c r="AD118" s="8"/>
      <c r="AE118" s="8"/>
      <c r="AF118" s="8"/>
      <c r="AG118" s="8"/>
      <c r="AH118" s="8"/>
      <c r="AI118" s="8"/>
      <c r="AJ118" s="8"/>
      <c r="AK118" s="8">
        <v>24.3</v>
      </c>
      <c r="AL118" s="15">
        <v>23.48</v>
      </c>
      <c r="AM118" s="15">
        <v>22.33</v>
      </c>
      <c r="AN118" s="8">
        <v>23.3</v>
      </c>
      <c r="AO118" s="8">
        <v>23.7</v>
      </c>
      <c r="AP118" s="8">
        <v>23.5</v>
      </c>
      <c r="AQ118" s="15">
        <v>25</v>
      </c>
      <c r="AR118" s="15">
        <v>26</v>
      </c>
      <c r="AS118" s="8"/>
      <c r="AT118" s="8"/>
      <c r="AU118" s="8" t="s">
        <v>674</v>
      </c>
    </row>
    <row r="119" spans="1:47" ht="14.4" hidden="1" customHeight="1">
      <c r="A119" s="8" t="s">
        <v>675</v>
      </c>
      <c r="B119" s="8" t="s">
        <v>676</v>
      </c>
      <c r="C119" s="8" t="s">
        <v>677</v>
      </c>
      <c r="D119" s="8" t="s">
        <v>25</v>
      </c>
      <c r="E119" s="8" t="s">
        <v>26</v>
      </c>
      <c r="F119" s="8"/>
      <c r="G119" s="8" t="s">
        <v>25</v>
      </c>
      <c r="H119" s="8" t="s">
        <v>27</v>
      </c>
      <c r="I119" s="8"/>
      <c r="J119" s="8"/>
      <c r="K119" s="8"/>
      <c r="L119" s="8" t="s">
        <v>25</v>
      </c>
      <c r="M119" s="8"/>
      <c r="N119" s="8" t="s">
        <v>25</v>
      </c>
      <c r="O119" s="8" t="s">
        <v>672</v>
      </c>
      <c r="P119" s="8" t="s">
        <v>676</v>
      </c>
      <c r="Q119" s="8"/>
      <c r="R119" s="8" t="s">
        <v>25</v>
      </c>
      <c r="S119" s="8"/>
      <c r="T119" s="8" t="s">
        <v>25</v>
      </c>
      <c r="U119" s="8"/>
      <c r="V119" s="8"/>
      <c r="W119" s="8"/>
      <c r="X119" s="8"/>
      <c r="Y119" s="8"/>
      <c r="Z119" s="8"/>
      <c r="AA119" s="8"/>
      <c r="AB119" s="8"/>
      <c r="AC119" s="8"/>
      <c r="AD119" s="8"/>
      <c r="AE119" s="8"/>
      <c r="AF119" s="8"/>
      <c r="AG119" s="8"/>
      <c r="AH119" s="8"/>
      <c r="AI119" s="8"/>
      <c r="AJ119" s="8"/>
      <c r="AK119" s="8"/>
      <c r="AL119" s="8">
        <v>62.4</v>
      </c>
      <c r="AM119" s="15">
        <v>66</v>
      </c>
      <c r="AN119" s="15">
        <v>66</v>
      </c>
      <c r="AO119" s="15">
        <v>67</v>
      </c>
      <c r="AP119" s="8">
        <v>68.3</v>
      </c>
      <c r="AQ119" s="8">
        <v>60.5</v>
      </c>
      <c r="AR119" s="15">
        <v>67</v>
      </c>
      <c r="AS119" s="8"/>
      <c r="AT119" s="8"/>
      <c r="AU119" s="8" t="s">
        <v>674</v>
      </c>
    </row>
    <row r="120" spans="1:47" ht="14.4" hidden="1" customHeight="1">
      <c r="A120" s="8" t="s">
        <v>678</v>
      </c>
      <c r="B120" s="8" t="s">
        <v>679</v>
      </c>
      <c r="C120" s="8" t="s">
        <v>680</v>
      </c>
      <c r="D120" s="8" t="s">
        <v>25</v>
      </c>
      <c r="E120" s="8" t="s">
        <v>26</v>
      </c>
      <c r="F120" s="8"/>
      <c r="G120" s="8" t="s">
        <v>25</v>
      </c>
      <c r="H120" s="8" t="s">
        <v>27</v>
      </c>
      <c r="I120" s="8"/>
      <c r="J120" s="8"/>
      <c r="K120" s="8"/>
      <c r="L120" s="8" t="s">
        <v>25</v>
      </c>
      <c r="M120" s="8"/>
      <c r="N120" s="8" t="s">
        <v>25</v>
      </c>
      <c r="O120" s="8" t="s">
        <v>672</v>
      </c>
      <c r="P120" s="8" t="s">
        <v>681</v>
      </c>
      <c r="Q120" s="8"/>
      <c r="R120" s="8" t="s">
        <v>25</v>
      </c>
      <c r="S120" s="8"/>
      <c r="T120" s="8" t="s">
        <v>25</v>
      </c>
      <c r="U120" s="8"/>
      <c r="V120" s="8"/>
      <c r="W120" s="8"/>
      <c r="X120" s="8"/>
      <c r="Y120" s="8"/>
      <c r="Z120" s="8"/>
      <c r="AA120" s="8"/>
      <c r="AB120" s="8"/>
      <c r="AC120" s="8"/>
      <c r="AD120" s="8"/>
      <c r="AE120" s="8"/>
      <c r="AF120" s="8"/>
      <c r="AG120" s="8"/>
      <c r="AH120" s="8"/>
      <c r="AI120" s="8"/>
      <c r="AJ120" s="8"/>
      <c r="AK120" s="8"/>
      <c r="AL120" s="15">
        <v>4</v>
      </c>
      <c r="AM120" s="8">
        <v>4.0999999999999996</v>
      </c>
      <c r="AN120" s="8"/>
      <c r="AO120" s="8"/>
      <c r="AP120" s="8">
        <v>3.3</v>
      </c>
      <c r="AQ120" s="8">
        <v>3.7</v>
      </c>
      <c r="AR120" s="8"/>
      <c r="AS120" s="8"/>
      <c r="AT120" s="8"/>
      <c r="AU120" s="8" t="s">
        <v>674</v>
      </c>
    </row>
    <row r="121" spans="1:47" ht="14.4" hidden="1" customHeight="1">
      <c r="A121" s="8" t="s">
        <v>682</v>
      </c>
      <c r="B121" s="8" t="s">
        <v>683</v>
      </c>
      <c r="C121" s="8" t="s">
        <v>684</v>
      </c>
      <c r="D121" s="8" t="s">
        <v>25</v>
      </c>
      <c r="E121" s="8" t="s">
        <v>87</v>
      </c>
      <c r="F121" s="8"/>
      <c r="G121" s="8" t="s">
        <v>25</v>
      </c>
      <c r="H121" s="8" t="s">
        <v>27</v>
      </c>
      <c r="I121" s="8"/>
      <c r="J121" s="8"/>
      <c r="K121" s="8"/>
      <c r="L121" s="8" t="s">
        <v>25</v>
      </c>
      <c r="M121" s="8"/>
      <c r="N121" s="8" t="s">
        <v>25</v>
      </c>
      <c r="O121" s="8" t="s">
        <v>549</v>
      </c>
      <c r="P121" s="8" t="s">
        <v>683</v>
      </c>
      <c r="Q121" s="8"/>
      <c r="R121" s="8" t="s">
        <v>25</v>
      </c>
      <c r="S121" s="8"/>
      <c r="T121" s="8" t="s">
        <v>25</v>
      </c>
      <c r="U121" s="8"/>
      <c r="V121" s="8"/>
      <c r="W121" s="8"/>
      <c r="X121" s="8"/>
      <c r="Y121" s="8"/>
      <c r="Z121" s="8"/>
      <c r="AA121" s="8"/>
      <c r="AB121" s="8"/>
      <c r="AC121" s="8"/>
      <c r="AD121" s="8"/>
      <c r="AE121" s="8"/>
      <c r="AF121" s="8"/>
      <c r="AG121" s="8"/>
      <c r="AH121" s="8"/>
      <c r="AI121" s="8"/>
      <c r="AJ121" s="8"/>
      <c r="AK121" s="8"/>
      <c r="AL121" s="8">
        <v>1.9</v>
      </c>
      <c r="AM121" s="8">
        <v>2.2000000000000002</v>
      </c>
      <c r="AN121" s="8">
        <v>2.6</v>
      </c>
      <c r="AO121" s="8">
        <v>2.4</v>
      </c>
      <c r="AP121" s="8">
        <v>2.7</v>
      </c>
      <c r="AQ121" s="8">
        <v>3.4</v>
      </c>
      <c r="AR121" s="8">
        <v>3.5</v>
      </c>
      <c r="AS121" s="8">
        <v>3.6</v>
      </c>
      <c r="AT121" s="8">
        <v>3.8</v>
      </c>
      <c r="AU121" s="8" t="s">
        <v>550</v>
      </c>
    </row>
    <row r="122" spans="1:47" ht="14.4" hidden="1" customHeight="1">
      <c r="A122" s="8" t="s">
        <v>685</v>
      </c>
      <c r="B122" s="8" t="s">
        <v>686</v>
      </c>
      <c r="C122" s="8" t="s">
        <v>687</v>
      </c>
      <c r="D122" s="8" t="s">
        <v>25</v>
      </c>
      <c r="E122" s="8" t="s">
        <v>26</v>
      </c>
      <c r="F122" s="8"/>
      <c r="G122" s="8" t="s">
        <v>25</v>
      </c>
      <c r="H122" s="8" t="s">
        <v>27</v>
      </c>
      <c r="I122" s="8"/>
      <c r="J122" s="8"/>
      <c r="K122" s="8"/>
      <c r="L122" s="8" t="s">
        <v>25</v>
      </c>
      <c r="M122" s="8"/>
      <c r="N122" s="8" t="s">
        <v>25</v>
      </c>
      <c r="O122" s="8" t="s">
        <v>672</v>
      </c>
      <c r="P122" s="8" t="s">
        <v>688</v>
      </c>
      <c r="Q122" s="8"/>
      <c r="R122" s="8" t="s">
        <v>25</v>
      </c>
      <c r="S122" s="8"/>
      <c r="T122" s="8" t="s">
        <v>25</v>
      </c>
      <c r="U122" s="8"/>
      <c r="V122" s="8"/>
      <c r="W122" s="8"/>
      <c r="X122" s="8"/>
      <c r="Y122" s="8"/>
      <c r="Z122" s="8"/>
      <c r="AA122" s="8"/>
      <c r="AB122" s="8"/>
      <c r="AC122" s="8"/>
      <c r="AD122" s="8"/>
      <c r="AE122" s="8"/>
      <c r="AF122" s="8"/>
      <c r="AG122" s="8"/>
      <c r="AH122" s="8"/>
      <c r="AI122" s="8"/>
      <c r="AJ122" s="8">
        <v>4.5999999999999996</v>
      </c>
      <c r="AK122" s="8">
        <v>4.2</v>
      </c>
      <c r="AL122" s="8">
        <v>4.5999999999999996</v>
      </c>
      <c r="AM122" s="15">
        <v>3</v>
      </c>
      <c r="AN122" s="15">
        <v>4</v>
      </c>
      <c r="AO122" s="15">
        <v>9</v>
      </c>
      <c r="AP122" s="15">
        <v>5</v>
      </c>
      <c r="AQ122" s="15">
        <v>34</v>
      </c>
      <c r="AR122" s="8">
        <v>6.8</v>
      </c>
      <c r="AS122" s="8"/>
      <c r="AT122" s="8"/>
      <c r="AU122" s="8" t="s">
        <v>674</v>
      </c>
    </row>
    <row r="123" spans="1:47" ht="14.4" hidden="1" customHeight="1">
      <c r="A123" s="8" t="s">
        <v>689</v>
      </c>
      <c r="B123" s="8" t="s">
        <v>690</v>
      </c>
      <c r="C123" s="8" t="s">
        <v>691</v>
      </c>
      <c r="D123" s="8" t="s">
        <v>25</v>
      </c>
      <c r="E123" s="8" t="s">
        <v>692</v>
      </c>
      <c r="F123" s="8"/>
      <c r="G123" s="8" t="s">
        <v>25</v>
      </c>
      <c r="H123" s="8" t="s">
        <v>27</v>
      </c>
      <c r="I123" s="8"/>
      <c r="J123" s="8"/>
      <c r="K123" s="8"/>
      <c r="L123" s="8" t="s">
        <v>25</v>
      </c>
      <c r="M123" s="8"/>
      <c r="N123" s="8" t="s">
        <v>25</v>
      </c>
      <c r="O123" s="8" t="s">
        <v>693</v>
      </c>
      <c r="P123" s="8" t="s">
        <v>694</v>
      </c>
      <c r="Q123" s="8"/>
      <c r="R123" s="8" t="s">
        <v>25</v>
      </c>
      <c r="S123" s="8"/>
      <c r="T123" s="8" t="s">
        <v>25</v>
      </c>
      <c r="U123" s="8"/>
      <c r="V123" s="8"/>
      <c r="W123" s="8"/>
      <c r="X123" s="8"/>
      <c r="Y123" s="8"/>
      <c r="Z123" s="8"/>
      <c r="AA123" s="8"/>
      <c r="AB123" s="8"/>
      <c r="AC123" s="8"/>
      <c r="AD123" s="8"/>
      <c r="AE123" s="8"/>
      <c r="AF123" s="8"/>
      <c r="AG123" s="8"/>
      <c r="AH123" s="8"/>
      <c r="AI123" s="8"/>
      <c r="AJ123" s="8"/>
      <c r="AK123" s="8"/>
      <c r="AL123" s="8"/>
      <c r="AM123" s="8"/>
      <c r="AN123" s="8"/>
      <c r="AO123" s="8">
        <v>0.1</v>
      </c>
      <c r="AP123" s="15">
        <v>0.14000000000000001</v>
      </c>
      <c r="AQ123" s="15">
        <v>0.25</v>
      </c>
      <c r="AR123" s="15">
        <v>0.36</v>
      </c>
      <c r="AS123" s="15">
        <v>0.46</v>
      </c>
      <c r="AT123" s="15">
        <v>0.54</v>
      </c>
      <c r="AU123" s="8" t="s">
        <v>695</v>
      </c>
    </row>
    <row r="124" spans="1:47" ht="26.4" customHeight="1">
      <c r="A124" s="8" t="s">
        <v>696</v>
      </c>
      <c r="B124" s="8" t="s">
        <v>697</v>
      </c>
      <c r="C124" s="8" t="s">
        <v>698</v>
      </c>
      <c r="D124" s="8" t="s">
        <v>25</v>
      </c>
      <c r="E124" s="8" t="s">
        <v>26</v>
      </c>
      <c r="F124" s="8"/>
      <c r="G124" s="8" t="s">
        <v>25</v>
      </c>
      <c r="H124" s="8" t="s">
        <v>27</v>
      </c>
      <c r="I124" s="8"/>
      <c r="J124" s="8"/>
      <c r="K124" s="8"/>
      <c r="L124" s="8" t="s">
        <v>25</v>
      </c>
      <c r="M124" s="8"/>
      <c r="N124" s="8" t="s">
        <v>25</v>
      </c>
      <c r="O124" s="8" t="s">
        <v>699</v>
      </c>
      <c r="P124" s="8" t="s">
        <v>697</v>
      </c>
      <c r="Q124" s="8"/>
      <c r="R124" s="8" t="s">
        <v>25</v>
      </c>
      <c r="S124" s="8"/>
      <c r="T124" s="8" t="s">
        <v>25</v>
      </c>
      <c r="U124" s="8"/>
      <c r="V124" s="8"/>
      <c r="W124" s="8"/>
      <c r="X124" s="8"/>
      <c r="Y124" s="8"/>
      <c r="Z124" s="8"/>
      <c r="AA124" s="8"/>
      <c r="AB124" s="8"/>
      <c r="AC124" s="8"/>
      <c r="AD124" s="8"/>
      <c r="AE124" s="8"/>
      <c r="AF124" s="8"/>
      <c r="AG124" s="8"/>
      <c r="AH124" s="8">
        <v>6.7</v>
      </c>
      <c r="AI124" s="8"/>
      <c r="AJ124" s="8"/>
      <c r="AK124" s="8"/>
      <c r="AL124" s="8"/>
      <c r="AM124" s="8"/>
      <c r="AN124" s="8"/>
      <c r="AO124" s="8"/>
      <c r="AP124" s="8">
        <v>17.600000000000001</v>
      </c>
      <c r="AQ124" s="8"/>
      <c r="AR124" s="8">
        <v>16.2</v>
      </c>
      <c r="AS124" s="8"/>
      <c r="AT124" s="8"/>
      <c r="AU124" s="8" t="s">
        <v>700</v>
      </c>
    </row>
    <row r="125" spans="1:47" ht="14.4" hidden="1" customHeight="1">
      <c r="A125" s="8" t="s">
        <v>701</v>
      </c>
      <c r="B125" s="8" t="s">
        <v>702</v>
      </c>
      <c r="C125" s="8" t="s">
        <v>703</v>
      </c>
      <c r="D125" s="8" t="s">
        <v>25</v>
      </c>
      <c r="E125" s="8" t="s">
        <v>87</v>
      </c>
      <c r="F125" s="8"/>
      <c r="G125" s="8" t="s">
        <v>25</v>
      </c>
      <c r="H125" s="8" t="s">
        <v>27</v>
      </c>
      <c r="I125" s="8"/>
      <c r="J125" s="8"/>
      <c r="K125" s="8"/>
      <c r="L125" s="8" t="s">
        <v>25</v>
      </c>
      <c r="M125" s="8"/>
      <c r="N125" s="8" t="s">
        <v>25</v>
      </c>
      <c r="O125" s="8" t="s">
        <v>672</v>
      </c>
      <c r="P125" s="8" t="s">
        <v>704</v>
      </c>
      <c r="Q125" s="8"/>
      <c r="R125" s="8" t="s">
        <v>25</v>
      </c>
      <c r="S125" s="8"/>
      <c r="T125" s="8" t="s">
        <v>25</v>
      </c>
      <c r="U125" s="8"/>
      <c r="V125" s="8"/>
      <c r="W125" s="8"/>
      <c r="X125" s="8"/>
      <c r="Y125" s="8"/>
      <c r="Z125" s="8"/>
      <c r="AA125" s="8"/>
      <c r="AB125" s="8"/>
      <c r="AC125" s="8"/>
      <c r="AD125" s="8"/>
      <c r="AE125" s="8"/>
      <c r="AF125" s="8"/>
      <c r="AG125" s="8"/>
      <c r="AH125" s="8"/>
      <c r="AI125" s="8"/>
      <c r="AJ125" s="8"/>
      <c r="AK125" s="8"/>
      <c r="AL125" s="8">
        <v>1534.4</v>
      </c>
      <c r="AM125" s="8">
        <v>1979.9</v>
      </c>
      <c r="AN125" s="8">
        <v>2039.2</v>
      </c>
      <c r="AO125" s="8"/>
      <c r="AP125" s="8">
        <v>2159.6999999999998</v>
      </c>
      <c r="AQ125" s="8"/>
      <c r="AR125" s="8"/>
      <c r="AS125" s="8"/>
      <c r="AT125" s="8"/>
      <c r="AU125" s="8" t="s">
        <v>674</v>
      </c>
    </row>
    <row r="126" spans="1:47" ht="39.6" customHeight="1">
      <c r="A126" s="8" t="s">
        <v>705</v>
      </c>
      <c r="B126" s="12" t="s">
        <v>706</v>
      </c>
      <c r="C126" s="8" t="s">
        <v>707</v>
      </c>
      <c r="D126" s="8" t="s">
        <v>25</v>
      </c>
      <c r="E126" s="8" t="s">
        <v>26</v>
      </c>
      <c r="F126" s="8"/>
      <c r="G126" s="8" t="s">
        <v>25</v>
      </c>
      <c r="H126" s="8" t="s">
        <v>27</v>
      </c>
      <c r="I126" s="8"/>
      <c r="J126" s="8"/>
      <c r="K126" s="8"/>
      <c r="L126" s="8" t="s">
        <v>25</v>
      </c>
      <c r="M126" s="8"/>
      <c r="N126" s="8" t="s">
        <v>25</v>
      </c>
      <c r="O126" s="8" t="s">
        <v>417</v>
      </c>
      <c r="P126" s="8" t="s">
        <v>415</v>
      </c>
      <c r="Q126" s="8"/>
      <c r="R126" s="8" t="s">
        <v>25</v>
      </c>
      <c r="S126" s="8"/>
      <c r="T126" s="8" t="s">
        <v>25</v>
      </c>
      <c r="U126" s="8"/>
      <c r="V126" s="8"/>
      <c r="W126" s="8"/>
      <c r="X126" s="8"/>
      <c r="Y126" s="8">
        <v>5.7</v>
      </c>
      <c r="Z126" s="8">
        <v>10.4</v>
      </c>
      <c r="AA126" s="8">
        <v>-0.3</v>
      </c>
      <c r="AB126" s="8">
        <v>3.7</v>
      </c>
      <c r="AC126" s="8">
        <v>6.9</v>
      </c>
      <c r="AD126" s="8">
        <v>6.8</v>
      </c>
      <c r="AE126" s="8">
        <v>5.3</v>
      </c>
      <c r="AF126" s="8">
        <v>7.6</v>
      </c>
      <c r="AG126" s="8">
        <v>4.0999999999999996</v>
      </c>
      <c r="AH126" s="8">
        <v>4.0999999999999996</v>
      </c>
      <c r="AI126" s="8">
        <v>5.8</v>
      </c>
      <c r="AJ126" s="8">
        <v>5.5</v>
      </c>
      <c r="AK126" s="8">
        <v>2.8</v>
      </c>
      <c r="AL126" s="8">
        <v>3.3</v>
      </c>
      <c r="AM126" s="8">
        <v>1.3</v>
      </c>
      <c r="AN126" s="8">
        <v>5.8</v>
      </c>
      <c r="AO126" s="8">
        <v>6.8</v>
      </c>
      <c r="AP126" s="8">
        <v>-5.7</v>
      </c>
      <c r="AQ126" s="8">
        <v>8.3000000000000007</v>
      </c>
      <c r="AR126" s="8">
        <v>5.7</v>
      </c>
      <c r="AS126" s="8">
        <v>5.9</v>
      </c>
      <c r="AT126" s="8">
        <v>6.5</v>
      </c>
      <c r="AU126" s="8" t="s">
        <v>708</v>
      </c>
    </row>
    <row r="127" spans="1:47" ht="52.8" customHeight="1">
      <c r="A127" s="8" t="s">
        <v>709</v>
      </c>
      <c r="B127" s="8" t="s">
        <v>710</v>
      </c>
      <c r="C127" s="8" t="s">
        <v>711</v>
      </c>
      <c r="D127" s="8" t="s">
        <v>25</v>
      </c>
      <c r="E127" s="8" t="s">
        <v>26</v>
      </c>
      <c r="F127" s="8"/>
      <c r="G127" s="8" t="s">
        <v>25</v>
      </c>
      <c r="H127" s="8" t="s">
        <v>27</v>
      </c>
      <c r="I127" s="8"/>
      <c r="J127" s="8"/>
      <c r="K127" s="8"/>
      <c r="L127" s="8" t="s">
        <v>25</v>
      </c>
      <c r="M127" s="8"/>
      <c r="N127" s="8" t="s">
        <v>25</v>
      </c>
      <c r="O127" s="8" t="s">
        <v>712</v>
      </c>
      <c r="P127" s="8" t="s">
        <v>713</v>
      </c>
      <c r="Q127" s="8"/>
      <c r="R127" s="8" t="s">
        <v>25</v>
      </c>
      <c r="S127" s="8"/>
      <c r="T127" s="8" t="s">
        <v>25</v>
      </c>
      <c r="U127" s="8"/>
      <c r="V127" s="8"/>
      <c r="W127" s="8"/>
      <c r="X127" s="8"/>
      <c r="Y127" s="8"/>
      <c r="Z127" s="8"/>
      <c r="AA127" s="8"/>
      <c r="AB127" s="8"/>
      <c r="AC127" s="8"/>
      <c r="AD127" s="8"/>
      <c r="AE127" s="8"/>
      <c r="AF127" s="8"/>
      <c r="AG127" s="8"/>
      <c r="AH127" s="8"/>
      <c r="AI127" s="8"/>
      <c r="AJ127" s="8"/>
      <c r="AK127" s="8"/>
      <c r="AL127" s="8"/>
      <c r="AM127" s="8"/>
      <c r="AN127" s="8"/>
      <c r="AO127" s="8">
        <v>24</v>
      </c>
      <c r="AP127" s="8">
        <v>27</v>
      </c>
      <c r="AQ127" s="8">
        <v>30</v>
      </c>
      <c r="AR127" s="8">
        <v>32</v>
      </c>
      <c r="AS127" s="8">
        <v>36</v>
      </c>
      <c r="AT127" s="8"/>
      <c r="AU127" s="8" t="s">
        <v>714</v>
      </c>
    </row>
    <row r="128" spans="1:47" ht="14.4" hidden="1" customHeight="1">
      <c r="A128" s="8" t="s">
        <v>715</v>
      </c>
      <c r="B128" s="8" t="s">
        <v>716</v>
      </c>
      <c r="C128" s="8" t="s">
        <v>717</v>
      </c>
      <c r="D128" s="8" t="s">
        <v>25</v>
      </c>
      <c r="E128" s="8" t="s">
        <v>87</v>
      </c>
      <c r="F128" s="8"/>
      <c r="G128" s="8" t="s">
        <v>25</v>
      </c>
      <c r="H128" s="8" t="s">
        <v>27</v>
      </c>
      <c r="I128" s="8"/>
      <c r="J128" s="8"/>
      <c r="K128" s="8"/>
      <c r="L128" s="8" t="s">
        <v>25</v>
      </c>
      <c r="M128" s="8"/>
      <c r="N128" s="8" t="s">
        <v>25</v>
      </c>
      <c r="O128" s="8" t="s">
        <v>718</v>
      </c>
      <c r="P128" s="8" t="s">
        <v>719</v>
      </c>
      <c r="Q128" s="8"/>
      <c r="R128" s="8" t="s">
        <v>25</v>
      </c>
      <c r="S128" s="8"/>
      <c r="T128" s="8" t="s">
        <v>25</v>
      </c>
      <c r="U128" s="8"/>
      <c r="V128" s="8"/>
      <c r="W128" s="8"/>
      <c r="X128" s="8"/>
      <c r="Y128" s="8"/>
      <c r="Z128" s="8"/>
      <c r="AA128" s="8"/>
      <c r="AB128" s="8"/>
      <c r="AC128" s="8"/>
      <c r="AD128" s="8"/>
      <c r="AE128" s="8"/>
      <c r="AF128" s="8"/>
      <c r="AG128" s="15">
        <v>7956736</v>
      </c>
      <c r="AH128" s="15">
        <v>10418880</v>
      </c>
      <c r="AI128" s="15">
        <v>5102809</v>
      </c>
      <c r="AJ128" s="15">
        <v>408926</v>
      </c>
      <c r="AK128" s="15">
        <v>5094083</v>
      </c>
      <c r="AL128" s="15">
        <v>6574017</v>
      </c>
      <c r="AM128" s="15">
        <v>8400241.3956557494</v>
      </c>
      <c r="AN128" s="15">
        <v>7426903.8428782504</v>
      </c>
      <c r="AO128" s="15">
        <v>5200425.3494196003</v>
      </c>
      <c r="AP128" s="15">
        <v>520447</v>
      </c>
      <c r="AQ128" s="8"/>
      <c r="AR128" s="8"/>
      <c r="AS128" s="8"/>
      <c r="AT128" s="8"/>
      <c r="AU128" s="8" t="s">
        <v>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heetViews>
  <sheetFormatPr defaultColWidth="9.33203125" defaultRowHeight="14.4"/>
  <cols>
    <col min="1" max="1" width="28.33203125" style="1" customWidth="1"/>
    <col min="2" max="2" width="6.6640625" style="1" customWidth="1"/>
    <col min="3" max="3" width="12.44140625" style="1" customWidth="1"/>
    <col min="4" max="5" width="9.33203125" style="1" customWidth="1"/>
    <col min="6" max="6" width="16" style="1" customWidth="1"/>
    <col min="7" max="7" width="9.33203125" style="1" customWidth="1"/>
    <col min="8" max="16384" width="9.33203125" style="1"/>
  </cols>
  <sheetData>
    <row r="1" spans="1:7">
      <c r="A1" s="3" t="s">
        <v>721</v>
      </c>
      <c r="B1" s="3" t="s">
        <v>722</v>
      </c>
      <c r="C1" s="3" t="s">
        <v>723</v>
      </c>
      <c r="D1" s="4" t="s">
        <v>724</v>
      </c>
      <c r="E1" s="5"/>
      <c r="F1" s="5" t="s">
        <v>725</v>
      </c>
      <c r="G1" s="5" t="s">
        <v>726</v>
      </c>
    </row>
    <row r="2" spans="1:7">
      <c r="A2" s="1" t="s">
        <v>727</v>
      </c>
      <c r="B2" s="1" t="s">
        <v>728</v>
      </c>
      <c r="C2" s="1" t="s">
        <v>729</v>
      </c>
      <c r="D2" s="1" t="s">
        <v>730</v>
      </c>
      <c r="F2" s="1" t="s">
        <v>731</v>
      </c>
      <c r="G2" s="2">
        <v>25</v>
      </c>
    </row>
    <row r="3" spans="1:7">
      <c r="A3" s="1" t="s">
        <v>732</v>
      </c>
      <c r="B3" s="1" t="s">
        <v>728</v>
      </c>
      <c r="C3" s="1" t="s">
        <v>729</v>
      </c>
      <c r="D3" s="2" t="s">
        <v>733</v>
      </c>
    </row>
    <row r="4" spans="1:7">
      <c r="A4" s="1" t="s">
        <v>734</v>
      </c>
      <c r="B4" s="1" t="s">
        <v>728</v>
      </c>
      <c r="C4" s="1" t="s">
        <v>735</v>
      </c>
      <c r="D4" s="2" t="s">
        <v>736</v>
      </c>
    </row>
    <row r="5" spans="1:7">
      <c r="A5" s="1" t="s">
        <v>737</v>
      </c>
      <c r="B5" s="1" t="s">
        <v>728</v>
      </c>
      <c r="C5" s="1" t="s">
        <v>735</v>
      </c>
      <c r="D5" s="2" t="s">
        <v>738</v>
      </c>
    </row>
    <row r="6" spans="1:7">
      <c r="A6" s="1" t="s">
        <v>739</v>
      </c>
      <c r="B6" s="1" t="s">
        <v>728</v>
      </c>
      <c r="C6" s="1" t="s">
        <v>740</v>
      </c>
      <c r="D6" s="1">
        <v>1</v>
      </c>
    </row>
    <row r="7" spans="1:7">
      <c r="A7" s="1" t="s">
        <v>741</v>
      </c>
      <c r="B7" s="1" t="s">
        <v>728</v>
      </c>
      <c r="C7" s="1" t="s">
        <v>735</v>
      </c>
      <c r="D7" s="2" t="s">
        <v>495</v>
      </c>
    </row>
    <row r="8" spans="1:7">
      <c r="A8" s="1" t="s">
        <v>742</v>
      </c>
      <c r="B8" s="1" t="s">
        <v>728</v>
      </c>
      <c r="C8" s="1" t="s">
        <v>735</v>
      </c>
      <c r="D8" s="2" t="s">
        <v>489</v>
      </c>
    </row>
    <row r="9" spans="1:7">
      <c r="A9" s="1" t="s">
        <v>743</v>
      </c>
      <c r="B9" s="1" t="s">
        <v>728</v>
      </c>
      <c r="C9" s="1" t="s">
        <v>735</v>
      </c>
      <c r="D9" s="1" t="s">
        <v>744</v>
      </c>
    </row>
    <row r="10" spans="1:7">
      <c r="A10" s="1" t="s">
        <v>745</v>
      </c>
      <c r="B10" s="1" t="s">
        <v>728</v>
      </c>
      <c r="C10" s="1" t="s">
        <v>729</v>
      </c>
      <c r="D10" s="1" t="s">
        <v>25</v>
      </c>
    </row>
    <row r="11" spans="1:7">
      <c r="A11" s="1" t="s">
        <v>746</v>
      </c>
      <c r="B11" s="1" t="s">
        <v>728</v>
      </c>
      <c r="C11" s="1" t="s">
        <v>735</v>
      </c>
      <c r="D11" s="1" t="s">
        <v>733</v>
      </c>
    </row>
    <row r="12" spans="1:7">
      <c r="A12" s="1" t="s">
        <v>747</v>
      </c>
      <c r="B12" s="1" t="s">
        <v>728</v>
      </c>
      <c r="C12" s="1" t="s">
        <v>735</v>
      </c>
      <c r="D12" s="1" t="s">
        <v>748</v>
      </c>
    </row>
    <row r="13" spans="1:7">
      <c r="A13" s="1" t="s">
        <v>749</v>
      </c>
      <c r="B13" s="1" t="s">
        <v>728</v>
      </c>
      <c r="C13" s="1" t="s">
        <v>729</v>
      </c>
      <c r="D13" s="1" t="s">
        <v>25</v>
      </c>
    </row>
    <row r="14" spans="1:7">
      <c r="A14" s="1" t="s">
        <v>750</v>
      </c>
      <c r="B14" s="1" t="s">
        <v>728</v>
      </c>
      <c r="C14" s="1" t="s">
        <v>735</v>
      </c>
      <c r="D14" s="1" t="s">
        <v>751</v>
      </c>
    </row>
    <row r="15" spans="1:7">
      <c r="A15" s="1" t="s">
        <v>752</v>
      </c>
      <c r="B15" s="1" t="s">
        <v>728</v>
      </c>
      <c r="C15" s="1" t="s">
        <v>729</v>
      </c>
      <c r="D15" s="1" t="s">
        <v>25</v>
      </c>
    </row>
    <row r="16" spans="1:7">
      <c r="A16" s="1" t="s">
        <v>753</v>
      </c>
      <c r="B16" s="1" t="s">
        <v>728</v>
      </c>
      <c r="C16" s="1" t="s">
        <v>729</v>
      </c>
      <c r="D16" s="1" t="s">
        <v>25</v>
      </c>
    </row>
    <row r="17" spans="1:4">
      <c r="A17" s="1" t="s">
        <v>754</v>
      </c>
      <c r="B17" s="1" t="s">
        <v>728</v>
      </c>
      <c r="C17" s="1" t="s">
        <v>729</v>
      </c>
      <c r="D17" s="1" t="s">
        <v>25</v>
      </c>
    </row>
    <row r="18" spans="1:4">
      <c r="A18" s="1" t="s">
        <v>755</v>
      </c>
      <c r="B18" s="1" t="s">
        <v>756</v>
      </c>
      <c r="C18" s="1" t="s">
        <v>729</v>
      </c>
      <c r="D18" s="1" t="s">
        <v>757</v>
      </c>
    </row>
    <row r="19" spans="1:4">
      <c r="A19" s="1" t="s">
        <v>758</v>
      </c>
      <c r="B19" s="1" t="s">
        <v>756</v>
      </c>
      <c r="C19" s="1" t="s">
        <v>735</v>
      </c>
      <c r="D19" s="2" t="s">
        <v>759</v>
      </c>
    </row>
    <row r="20" spans="1:4">
      <c r="A20" s="1" t="s">
        <v>760</v>
      </c>
      <c r="B20" s="1" t="s">
        <v>756</v>
      </c>
      <c r="C20" s="1" t="s">
        <v>735</v>
      </c>
      <c r="D20" s="1" t="s">
        <v>761</v>
      </c>
    </row>
    <row r="21" spans="1:4">
      <c r="A21" s="1" t="s">
        <v>762</v>
      </c>
      <c r="B21" s="1" t="s">
        <v>756</v>
      </c>
      <c r="C21" s="1" t="s">
        <v>735</v>
      </c>
      <c r="D21" s="1" t="s">
        <v>763</v>
      </c>
    </row>
    <row r="22" spans="1:4">
      <c r="A22" s="1" t="s">
        <v>764</v>
      </c>
      <c r="B22" s="1" t="s">
        <v>756</v>
      </c>
      <c r="C22" s="1" t="s">
        <v>729</v>
      </c>
      <c r="D22" s="1">
        <v>0</v>
      </c>
    </row>
    <row r="23" spans="1:4">
      <c r="A23" s="1" t="s">
        <v>765</v>
      </c>
      <c r="B23" s="1" t="s">
        <v>756</v>
      </c>
      <c r="C23" s="1" t="s">
        <v>729</v>
      </c>
      <c r="D23" s="1" t="s">
        <v>730</v>
      </c>
    </row>
    <row r="24" spans="1:4">
      <c r="A24" s="1" t="s">
        <v>766</v>
      </c>
      <c r="B24" s="1" t="s">
        <v>756</v>
      </c>
      <c r="C24" s="1" t="s">
        <v>740</v>
      </c>
      <c r="D24"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41"/>
  <sheetViews>
    <sheetView tabSelected="1" topLeftCell="U1" workbookViewId="0">
      <selection activeCell="AC2" sqref="AC2"/>
    </sheetView>
  </sheetViews>
  <sheetFormatPr defaultRowHeight="14.4"/>
  <cols>
    <col min="1" max="2" width="18" customWidth="1"/>
    <col min="3" max="3" width="28" customWidth="1"/>
    <col min="4" max="4" width="18" customWidth="1"/>
    <col min="5" max="5" width="28" customWidth="1"/>
    <col min="6" max="6" width="18" customWidth="1"/>
    <col min="7" max="7" width="28" customWidth="1"/>
    <col min="8" max="9" width="18" customWidth="1"/>
    <col min="10" max="10" width="28" customWidth="1"/>
    <col min="11" max="11" width="30" customWidth="1"/>
    <col min="12" max="13" width="18" customWidth="1"/>
    <col min="14" max="14" width="34" customWidth="1"/>
    <col min="15" max="16" width="18" customWidth="1"/>
    <col min="17" max="18" width="30" customWidth="1"/>
    <col min="20" max="26" width="18" customWidth="1"/>
    <col min="27" max="27" width="42" customWidth="1"/>
    <col min="28" max="31" width="22" customWidth="1"/>
    <col min="32" max="33" width="38" customWidth="1"/>
  </cols>
  <sheetData>
    <row r="1" spans="1:33" ht="28.8">
      <c r="A1" s="7" t="s">
        <v>767</v>
      </c>
      <c r="B1" s="7" t="s">
        <v>0</v>
      </c>
      <c r="C1" s="7" t="s">
        <v>1</v>
      </c>
      <c r="D1" s="7" t="s">
        <v>2</v>
      </c>
      <c r="E1" s="7" t="s">
        <v>768</v>
      </c>
      <c r="F1" s="7" t="s">
        <v>4</v>
      </c>
      <c r="G1" s="7" t="s">
        <v>769</v>
      </c>
      <c r="H1" s="7" t="s">
        <v>770</v>
      </c>
      <c r="I1" s="7" t="s">
        <v>771</v>
      </c>
      <c r="J1" s="7" t="s">
        <v>772</v>
      </c>
      <c r="K1" s="7" t="s">
        <v>773</v>
      </c>
      <c r="L1" s="7" t="s">
        <v>774</v>
      </c>
      <c r="M1" s="7" t="s">
        <v>775</v>
      </c>
      <c r="N1" s="7" t="s">
        <v>776</v>
      </c>
      <c r="O1" s="7" t="s">
        <v>777</v>
      </c>
      <c r="P1" s="7" t="s">
        <v>778</v>
      </c>
      <c r="Q1" s="7" t="s">
        <v>779</v>
      </c>
      <c r="R1" s="7" t="s">
        <v>780</v>
      </c>
      <c r="S1" s="7" t="s">
        <v>781</v>
      </c>
      <c r="T1" s="7" t="s">
        <v>782</v>
      </c>
      <c r="U1" s="7" t="s">
        <v>783</v>
      </c>
      <c r="V1" s="7" t="s">
        <v>784</v>
      </c>
      <c r="W1" s="7" t="s">
        <v>785</v>
      </c>
      <c r="X1" s="7" t="s">
        <v>786</v>
      </c>
      <c r="Y1" s="7" t="s">
        <v>787</v>
      </c>
      <c r="Z1" s="7" t="s">
        <v>788</v>
      </c>
      <c r="AA1" s="7" t="s">
        <v>789</v>
      </c>
      <c r="AB1" s="8" t="s">
        <v>790</v>
      </c>
      <c r="AC1" s="8" t="s">
        <v>791</v>
      </c>
      <c r="AD1" s="8" t="s">
        <v>792</v>
      </c>
      <c r="AE1" s="8" t="s">
        <v>793</v>
      </c>
      <c r="AF1" s="8" t="s">
        <v>794</v>
      </c>
      <c r="AG1" s="8" t="s">
        <v>795</v>
      </c>
    </row>
    <row r="2" spans="1:33" ht="39.6" customHeight="1">
      <c r="A2" s="8" t="s">
        <v>796</v>
      </c>
      <c r="B2" s="8" t="s">
        <v>31</v>
      </c>
      <c r="C2" s="8" t="s">
        <v>32</v>
      </c>
      <c r="D2" s="8" t="s">
        <v>33</v>
      </c>
      <c r="E2" s="8" t="s">
        <v>35</v>
      </c>
      <c r="F2" s="8" t="s">
        <v>26</v>
      </c>
      <c r="G2" s="8" t="s">
        <v>34</v>
      </c>
      <c r="H2" s="8">
        <v>2024</v>
      </c>
      <c r="I2" s="8">
        <v>27.4</v>
      </c>
      <c r="J2" s="8" t="s">
        <v>797</v>
      </c>
      <c r="K2" s="8" t="s">
        <v>1278</v>
      </c>
      <c r="L2" s="8">
        <v>2025</v>
      </c>
      <c r="M2" s="8" t="s">
        <v>799</v>
      </c>
      <c r="N2" s="8" t="s">
        <v>800</v>
      </c>
      <c r="O2" s="8" t="s">
        <v>801</v>
      </c>
      <c r="P2" s="8" t="s">
        <v>1277</v>
      </c>
      <c r="Q2" s="8" t="s">
        <v>802</v>
      </c>
      <c r="R2" s="8" t="s">
        <v>803</v>
      </c>
      <c r="S2" s="8" t="s">
        <v>804</v>
      </c>
      <c r="T2" s="8" t="s">
        <v>805</v>
      </c>
      <c r="U2" s="8" t="s">
        <v>806</v>
      </c>
      <c r="V2" s="8" t="s">
        <v>807</v>
      </c>
      <c r="W2" s="8" t="s">
        <v>808</v>
      </c>
      <c r="X2" s="8" t="s">
        <v>809</v>
      </c>
      <c r="Y2" s="8" t="s">
        <v>810</v>
      </c>
      <c r="Z2" s="8" t="s">
        <v>811</v>
      </c>
      <c r="AA2" s="8" t="s">
        <v>812</v>
      </c>
      <c r="AB2" s="8" t="s">
        <v>813</v>
      </c>
      <c r="AC2" s="8" t="s">
        <v>814</v>
      </c>
      <c r="AD2" s="8">
        <v>2025</v>
      </c>
      <c r="AE2" s="8">
        <v>2024</v>
      </c>
      <c r="AF2" s="8" t="s">
        <v>815</v>
      </c>
      <c r="AG2" s="8" t="s">
        <v>816</v>
      </c>
    </row>
    <row r="3" spans="1:33" ht="66" customHeight="1">
      <c r="A3" s="8" t="s">
        <v>817</v>
      </c>
      <c r="B3" s="8" t="s">
        <v>36</v>
      </c>
      <c r="C3" s="8" t="s">
        <v>818</v>
      </c>
      <c r="D3" s="8" t="s">
        <v>38</v>
      </c>
      <c r="E3" s="8" t="s">
        <v>819</v>
      </c>
      <c r="F3" s="8" t="s">
        <v>39</v>
      </c>
      <c r="G3" s="8" t="s">
        <v>40</v>
      </c>
      <c r="H3" s="8">
        <v>2024</v>
      </c>
      <c r="I3" s="8">
        <v>0.13600000000000001</v>
      </c>
      <c r="J3" s="8" t="s">
        <v>797</v>
      </c>
      <c r="K3" s="8" t="s">
        <v>820</v>
      </c>
      <c r="L3" s="8">
        <v>2025</v>
      </c>
      <c r="M3" s="8" t="s">
        <v>799</v>
      </c>
      <c r="N3" s="8" t="s">
        <v>821</v>
      </c>
      <c r="O3" s="8" t="s">
        <v>822</v>
      </c>
      <c r="P3" s="8" t="s">
        <v>823</v>
      </c>
      <c r="Q3" s="8" t="s">
        <v>824</v>
      </c>
      <c r="R3" s="8" t="s">
        <v>825</v>
      </c>
      <c r="S3" s="8" t="s">
        <v>826</v>
      </c>
      <c r="T3" s="8" t="s">
        <v>825</v>
      </c>
      <c r="U3" s="8" t="s">
        <v>806</v>
      </c>
      <c r="V3" s="8" t="s">
        <v>807</v>
      </c>
      <c r="W3" s="8" t="s">
        <v>808</v>
      </c>
      <c r="X3" s="8" t="s">
        <v>809</v>
      </c>
      <c r="Y3" s="8" t="s">
        <v>810</v>
      </c>
      <c r="Z3" s="8" t="s">
        <v>811</v>
      </c>
      <c r="AA3" s="8" t="s">
        <v>827</v>
      </c>
      <c r="AB3" s="8" t="s">
        <v>813</v>
      </c>
      <c r="AC3" s="8" t="s">
        <v>814</v>
      </c>
      <c r="AD3" s="8">
        <v>2025</v>
      </c>
      <c r="AE3" s="8">
        <v>2024</v>
      </c>
      <c r="AF3" s="8" t="s">
        <v>828</v>
      </c>
      <c r="AG3" s="8" t="s">
        <v>829</v>
      </c>
    </row>
    <row r="4" spans="1:33" ht="52.8" customHeight="1">
      <c r="A4" s="8" t="s">
        <v>830</v>
      </c>
      <c r="B4" s="8" t="s">
        <v>89</v>
      </c>
      <c r="C4" s="8" t="s">
        <v>90</v>
      </c>
      <c r="D4" s="8" t="s">
        <v>91</v>
      </c>
      <c r="E4" s="8" t="s">
        <v>93</v>
      </c>
      <c r="F4" s="8" t="s">
        <v>26</v>
      </c>
      <c r="G4" s="8" t="s">
        <v>831</v>
      </c>
      <c r="H4" s="8">
        <v>2024</v>
      </c>
      <c r="I4" s="8">
        <v>31.3</v>
      </c>
      <c r="J4" s="8" t="s">
        <v>832</v>
      </c>
      <c r="K4" s="8" t="s">
        <v>833</v>
      </c>
      <c r="L4" s="8">
        <v>2025</v>
      </c>
      <c r="M4" s="8" t="s">
        <v>799</v>
      </c>
      <c r="N4" s="8" t="s">
        <v>834</v>
      </c>
      <c r="O4" s="8" t="s">
        <v>835</v>
      </c>
      <c r="P4" s="8" t="s">
        <v>836</v>
      </c>
      <c r="Q4" s="8" t="s">
        <v>837</v>
      </c>
      <c r="R4" s="8" t="s">
        <v>838</v>
      </c>
      <c r="S4" s="8" t="s">
        <v>838</v>
      </c>
      <c r="T4" s="8" t="s">
        <v>839</v>
      </c>
      <c r="U4" s="8" t="s">
        <v>806</v>
      </c>
      <c r="V4" s="8" t="s">
        <v>807</v>
      </c>
      <c r="W4" s="8" t="s">
        <v>808</v>
      </c>
      <c r="X4" s="8" t="s">
        <v>809</v>
      </c>
      <c r="Y4" s="8" t="s">
        <v>810</v>
      </c>
      <c r="Z4" s="8" t="s">
        <v>811</v>
      </c>
      <c r="AA4" s="8" t="s">
        <v>840</v>
      </c>
      <c r="AB4" s="8" t="s">
        <v>813</v>
      </c>
      <c r="AC4" s="8" t="s">
        <v>814</v>
      </c>
      <c r="AD4" s="8">
        <v>2025</v>
      </c>
      <c r="AE4" s="8">
        <v>2024</v>
      </c>
      <c r="AF4" s="8" t="s">
        <v>815</v>
      </c>
      <c r="AG4" s="8" t="s">
        <v>816</v>
      </c>
    </row>
    <row r="5" spans="1:33" ht="39.6" customHeight="1">
      <c r="A5" s="8" t="s">
        <v>841</v>
      </c>
      <c r="B5" s="8" t="s">
        <v>95</v>
      </c>
      <c r="C5" s="8" t="s">
        <v>842</v>
      </c>
      <c r="D5" s="8" t="s">
        <v>97</v>
      </c>
      <c r="E5" s="8" t="s">
        <v>99</v>
      </c>
      <c r="F5" s="8" t="s">
        <v>26</v>
      </c>
      <c r="G5" s="8" t="s">
        <v>843</v>
      </c>
      <c r="H5" s="8">
        <v>2024</v>
      </c>
      <c r="I5" s="8">
        <v>16</v>
      </c>
      <c r="J5" s="8" t="s">
        <v>844</v>
      </c>
      <c r="K5" s="8" t="s">
        <v>845</v>
      </c>
      <c r="L5" s="8">
        <v>2025</v>
      </c>
      <c r="M5" s="8" t="s">
        <v>799</v>
      </c>
      <c r="N5" s="8" t="s">
        <v>846</v>
      </c>
      <c r="O5" s="8" t="s">
        <v>847</v>
      </c>
      <c r="P5" s="8" t="s">
        <v>848</v>
      </c>
      <c r="Q5" s="8" t="s">
        <v>849</v>
      </c>
      <c r="R5" s="8" t="s">
        <v>850</v>
      </c>
      <c r="S5" s="8" t="s">
        <v>851</v>
      </c>
      <c r="T5" s="8" t="s">
        <v>850</v>
      </c>
      <c r="U5" s="8" t="s">
        <v>806</v>
      </c>
      <c r="V5" s="8" t="s">
        <v>807</v>
      </c>
      <c r="W5" s="8" t="s">
        <v>808</v>
      </c>
      <c r="X5" s="8" t="s">
        <v>852</v>
      </c>
      <c r="Y5" s="8" t="s">
        <v>853</v>
      </c>
      <c r="Z5" s="8" t="s">
        <v>854</v>
      </c>
      <c r="AA5" s="8" t="s">
        <v>855</v>
      </c>
      <c r="AB5" s="8" t="s">
        <v>856</v>
      </c>
      <c r="AC5" s="8" t="s">
        <v>839</v>
      </c>
      <c r="AD5" s="8">
        <v>2025</v>
      </c>
      <c r="AE5" s="8">
        <v>2024</v>
      </c>
      <c r="AF5" s="8" t="s">
        <v>857</v>
      </c>
      <c r="AG5" s="8" t="s">
        <v>858</v>
      </c>
    </row>
    <row r="6" spans="1:33" ht="39.6" customHeight="1">
      <c r="A6" s="8" t="s">
        <v>859</v>
      </c>
      <c r="B6" s="8" t="s">
        <v>101</v>
      </c>
      <c r="C6" s="8" t="s">
        <v>860</v>
      </c>
      <c r="D6" s="8" t="s">
        <v>103</v>
      </c>
      <c r="E6" s="8" t="s">
        <v>105</v>
      </c>
      <c r="F6" s="8" t="s">
        <v>26</v>
      </c>
      <c r="G6" s="8" t="s">
        <v>104</v>
      </c>
      <c r="H6" s="8">
        <v>2024</v>
      </c>
      <c r="I6" s="8">
        <v>27</v>
      </c>
      <c r="J6" s="8" t="s">
        <v>861</v>
      </c>
      <c r="K6" s="8" t="s">
        <v>862</v>
      </c>
      <c r="L6" s="8">
        <v>2026</v>
      </c>
      <c r="M6" s="8" t="s">
        <v>799</v>
      </c>
      <c r="N6" s="8" t="s">
        <v>863</v>
      </c>
      <c r="O6" s="8" t="s">
        <v>864</v>
      </c>
      <c r="P6" s="8" t="s">
        <v>865</v>
      </c>
      <c r="Q6" s="8" t="s">
        <v>866</v>
      </c>
      <c r="R6" s="8" t="s">
        <v>867</v>
      </c>
      <c r="S6" s="8" t="s">
        <v>807</v>
      </c>
      <c r="T6" s="8" t="s">
        <v>868</v>
      </c>
      <c r="U6" s="8" t="s">
        <v>806</v>
      </c>
      <c r="V6" s="8" t="s">
        <v>807</v>
      </c>
      <c r="W6" s="8" t="s">
        <v>808</v>
      </c>
      <c r="X6" s="8" t="s">
        <v>852</v>
      </c>
      <c r="Y6" s="8" t="s">
        <v>869</v>
      </c>
      <c r="Z6" s="8" t="s">
        <v>870</v>
      </c>
      <c r="AA6" s="8" t="s">
        <v>871</v>
      </c>
      <c r="AB6" s="8" t="s">
        <v>813</v>
      </c>
      <c r="AC6" s="8" t="s">
        <v>868</v>
      </c>
      <c r="AD6" s="8">
        <v>2026</v>
      </c>
      <c r="AE6" s="8">
        <v>2024</v>
      </c>
      <c r="AF6" s="8" t="s">
        <v>815</v>
      </c>
      <c r="AG6" s="8" t="s">
        <v>872</v>
      </c>
    </row>
    <row r="7" spans="1:33" ht="39.6" customHeight="1">
      <c r="A7" s="8" t="s">
        <v>873</v>
      </c>
      <c r="B7" s="8" t="s">
        <v>107</v>
      </c>
      <c r="C7" s="8" t="s">
        <v>874</v>
      </c>
      <c r="D7" s="8" t="s">
        <v>109</v>
      </c>
      <c r="E7" s="8" t="s">
        <v>110</v>
      </c>
      <c r="F7" s="8" t="s">
        <v>26</v>
      </c>
      <c r="G7" s="8" t="s">
        <v>104</v>
      </c>
      <c r="H7" s="8">
        <v>2024</v>
      </c>
      <c r="I7" s="8">
        <v>5</v>
      </c>
      <c r="J7" s="8" t="s">
        <v>861</v>
      </c>
      <c r="K7" s="8" t="s">
        <v>862</v>
      </c>
      <c r="L7" s="8">
        <v>2026</v>
      </c>
      <c r="M7" s="8" t="s">
        <v>799</v>
      </c>
      <c r="N7" s="8" t="s">
        <v>863</v>
      </c>
      <c r="O7" s="8" t="s">
        <v>864</v>
      </c>
      <c r="P7" s="8" t="s">
        <v>865</v>
      </c>
      <c r="Q7" s="8" t="s">
        <v>866</v>
      </c>
      <c r="R7" s="8" t="s">
        <v>875</v>
      </c>
      <c r="S7" s="8" t="s">
        <v>807</v>
      </c>
      <c r="T7" s="8" t="s">
        <v>868</v>
      </c>
      <c r="U7" s="8" t="s">
        <v>806</v>
      </c>
      <c r="V7" s="8" t="s">
        <v>807</v>
      </c>
      <c r="W7" s="8" t="s">
        <v>808</v>
      </c>
      <c r="X7" s="8" t="s">
        <v>852</v>
      </c>
      <c r="Y7" s="8" t="s">
        <v>869</v>
      </c>
      <c r="Z7" s="8" t="s">
        <v>870</v>
      </c>
      <c r="AA7" s="8" t="s">
        <v>876</v>
      </c>
      <c r="AB7" s="8" t="s">
        <v>813</v>
      </c>
      <c r="AC7" s="8" t="s">
        <v>868</v>
      </c>
      <c r="AD7" s="8">
        <v>2026</v>
      </c>
      <c r="AE7" s="8">
        <v>2024</v>
      </c>
      <c r="AF7" s="8" t="s">
        <v>815</v>
      </c>
      <c r="AG7" s="8" t="s">
        <v>872</v>
      </c>
    </row>
    <row r="8" spans="1:33" ht="39.6" customHeight="1">
      <c r="A8" s="8" t="s">
        <v>877</v>
      </c>
      <c r="B8" s="8" t="s">
        <v>120</v>
      </c>
      <c r="C8" s="8" t="s">
        <v>121</v>
      </c>
      <c r="D8" s="8" t="s">
        <v>122</v>
      </c>
      <c r="E8" s="8" t="s">
        <v>121</v>
      </c>
      <c r="F8" s="8" t="s">
        <v>123</v>
      </c>
      <c r="G8" s="8" t="s">
        <v>104</v>
      </c>
      <c r="H8" s="8">
        <v>2024</v>
      </c>
      <c r="I8" s="8">
        <v>149</v>
      </c>
      <c r="J8" s="8" t="s">
        <v>861</v>
      </c>
      <c r="K8" s="8" t="s">
        <v>862</v>
      </c>
      <c r="L8" s="8">
        <v>2026</v>
      </c>
      <c r="M8" s="8" t="s">
        <v>799</v>
      </c>
      <c r="N8" s="8" t="s">
        <v>863</v>
      </c>
      <c r="O8" s="8" t="s">
        <v>878</v>
      </c>
      <c r="P8" s="8" t="s">
        <v>879</v>
      </c>
      <c r="Q8" s="8" t="s">
        <v>121</v>
      </c>
      <c r="R8" s="8" t="s">
        <v>121</v>
      </c>
      <c r="S8" s="8" t="s">
        <v>807</v>
      </c>
      <c r="T8" s="8" t="s">
        <v>880</v>
      </c>
      <c r="U8" s="8" t="s">
        <v>806</v>
      </c>
      <c r="V8" s="8" t="s">
        <v>807</v>
      </c>
      <c r="W8" s="8" t="s">
        <v>808</v>
      </c>
      <c r="X8" s="8" t="s">
        <v>852</v>
      </c>
      <c r="Y8" s="8" t="s">
        <v>869</v>
      </c>
      <c r="Z8" s="8" t="s">
        <v>870</v>
      </c>
      <c r="AA8" s="8" t="s">
        <v>881</v>
      </c>
      <c r="AB8" s="8" t="s">
        <v>813</v>
      </c>
      <c r="AC8" s="8" t="s">
        <v>882</v>
      </c>
      <c r="AD8" s="8">
        <v>2026</v>
      </c>
      <c r="AE8" s="8">
        <v>2024</v>
      </c>
      <c r="AF8" s="8" t="s">
        <v>815</v>
      </c>
      <c r="AG8" s="8" t="s">
        <v>872</v>
      </c>
    </row>
    <row r="9" spans="1:33" ht="39.6" customHeight="1">
      <c r="A9" s="8" t="s">
        <v>883</v>
      </c>
      <c r="B9" s="8" t="s">
        <v>125</v>
      </c>
      <c r="C9" s="8" t="s">
        <v>126</v>
      </c>
      <c r="D9" s="8" t="s">
        <v>127</v>
      </c>
      <c r="E9" s="8" t="s">
        <v>126</v>
      </c>
      <c r="F9" s="8" t="s">
        <v>26</v>
      </c>
      <c r="G9" s="8" t="s">
        <v>104</v>
      </c>
      <c r="H9" s="8">
        <v>2024</v>
      </c>
      <c r="I9" s="8">
        <v>98</v>
      </c>
      <c r="J9" s="8" t="s">
        <v>861</v>
      </c>
      <c r="K9" s="8" t="s">
        <v>862</v>
      </c>
      <c r="L9" s="8">
        <v>2026</v>
      </c>
      <c r="M9" s="8" t="s">
        <v>799</v>
      </c>
      <c r="N9" s="8" t="s">
        <v>863</v>
      </c>
      <c r="O9" s="8" t="s">
        <v>884</v>
      </c>
      <c r="P9" s="8" t="s">
        <v>885</v>
      </c>
      <c r="Q9" s="8" t="s">
        <v>886</v>
      </c>
      <c r="R9" s="8" t="s">
        <v>887</v>
      </c>
      <c r="S9" s="8" t="s">
        <v>807</v>
      </c>
      <c r="T9" s="8" t="s">
        <v>888</v>
      </c>
      <c r="U9" s="8" t="s">
        <v>806</v>
      </c>
      <c r="V9" s="8" t="s">
        <v>807</v>
      </c>
      <c r="W9" s="8" t="s">
        <v>808</v>
      </c>
      <c r="X9" s="8" t="s">
        <v>852</v>
      </c>
      <c r="Y9" s="8" t="s">
        <v>869</v>
      </c>
      <c r="Z9" s="8" t="s">
        <v>870</v>
      </c>
      <c r="AA9" s="8" t="s">
        <v>889</v>
      </c>
      <c r="AB9" s="8" t="s">
        <v>813</v>
      </c>
      <c r="AC9" s="8" t="s">
        <v>890</v>
      </c>
      <c r="AD9" s="8">
        <v>2026</v>
      </c>
      <c r="AE9" s="8">
        <v>2024</v>
      </c>
      <c r="AF9" s="8" t="s">
        <v>815</v>
      </c>
      <c r="AG9" s="8" t="s">
        <v>872</v>
      </c>
    </row>
    <row r="10" spans="1:33" ht="39.6" customHeight="1">
      <c r="A10" s="8" t="s">
        <v>891</v>
      </c>
      <c r="B10" s="8" t="s">
        <v>129</v>
      </c>
      <c r="C10" s="8" t="s">
        <v>130</v>
      </c>
      <c r="D10" s="8" t="s">
        <v>131</v>
      </c>
      <c r="E10" s="8" t="s">
        <v>130</v>
      </c>
      <c r="F10" s="8" t="s">
        <v>132</v>
      </c>
      <c r="G10" s="8" t="s">
        <v>104</v>
      </c>
      <c r="H10" s="8">
        <v>2024</v>
      </c>
      <c r="I10" s="8">
        <v>36</v>
      </c>
      <c r="J10" s="8" t="s">
        <v>861</v>
      </c>
      <c r="K10" s="8" t="s">
        <v>862</v>
      </c>
      <c r="L10" s="8">
        <v>2026</v>
      </c>
      <c r="M10" s="8" t="s">
        <v>799</v>
      </c>
      <c r="N10" s="8" t="s">
        <v>863</v>
      </c>
      <c r="O10" s="8" t="s">
        <v>892</v>
      </c>
      <c r="P10" s="8" t="s">
        <v>893</v>
      </c>
      <c r="Q10" s="8" t="s">
        <v>893</v>
      </c>
      <c r="R10" s="8" t="s">
        <v>894</v>
      </c>
      <c r="S10" s="8" t="s">
        <v>807</v>
      </c>
      <c r="T10" s="8" t="s">
        <v>895</v>
      </c>
      <c r="U10" s="8" t="s">
        <v>806</v>
      </c>
      <c r="V10" s="8" t="s">
        <v>807</v>
      </c>
      <c r="W10" s="8" t="s">
        <v>808</v>
      </c>
      <c r="X10" s="8" t="s">
        <v>852</v>
      </c>
      <c r="Y10" s="8" t="s">
        <v>869</v>
      </c>
      <c r="Z10" s="8" t="s">
        <v>870</v>
      </c>
      <c r="AA10" s="8" t="s">
        <v>896</v>
      </c>
      <c r="AB10" s="8" t="s">
        <v>813</v>
      </c>
      <c r="AC10" s="8" t="s">
        <v>882</v>
      </c>
      <c r="AD10" s="8">
        <v>2026</v>
      </c>
      <c r="AE10" s="8">
        <v>2024</v>
      </c>
      <c r="AF10" s="8" t="s">
        <v>815</v>
      </c>
      <c r="AG10" s="8" t="s">
        <v>872</v>
      </c>
    </row>
    <row r="11" spans="1:33" ht="39.6" customHeight="1">
      <c r="A11" s="8" t="s">
        <v>897</v>
      </c>
      <c r="B11" s="8" t="s">
        <v>134</v>
      </c>
      <c r="C11" s="8" t="s">
        <v>135</v>
      </c>
      <c r="D11" s="8" t="s">
        <v>136</v>
      </c>
      <c r="E11" s="8" t="s">
        <v>135</v>
      </c>
      <c r="F11" s="8" t="s">
        <v>132</v>
      </c>
      <c r="G11" s="8" t="s">
        <v>104</v>
      </c>
      <c r="H11" s="8">
        <v>2024</v>
      </c>
      <c r="I11" s="8">
        <v>17</v>
      </c>
      <c r="J11" s="8" t="s">
        <v>861</v>
      </c>
      <c r="K11" s="8" t="s">
        <v>862</v>
      </c>
      <c r="L11" s="8">
        <v>2026</v>
      </c>
      <c r="M11" s="8" t="s">
        <v>799</v>
      </c>
      <c r="N11" s="8" t="s">
        <v>863</v>
      </c>
      <c r="O11" s="8" t="s">
        <v>892</v>
      </c>
      <c r="P11" s="8" t="s">
        <v>893</v>
      </c>
      <c r="Q11" s="8" t="s">
        <v>893</v>
      </c>
      <c r="R11" s="8" t="s">
        <v>898</v>
      </c>
      <c r="S11" s="8" t="s">
        <v>807</v>
      </c>
      <c r="T11" s="8" t="s">
        <v>895</v>
      </c>
      <c r="U11" s="8" t="s">
        <v>806</v>
      </c>
      <c r="V11" s="8" t="s">
        <v>807</v>
      </c>
      <c r="W11" s="8" t="s">
        <v>808</v>
      </c>
      <c r="X11" s="8" t="s">
        <v>852</v>
      </c>
      <c r="Y11" s="8" t="s">
        <v>869</v>
      </c>
      <c r="Z11" s="8" t="s">
        <v>870</v>
      </c>
      <c r="AA11" s="8" t="s">
        <v>896</v>
      </c>
      <c r="AB11" s="8" t="s">
        <v>813</v>
      </c>
      <c r="AC11" s="8" t="s">
        <v>882</v>
      </c>
      <c r="AD11" s="8">
        <v>2026</v>
      </c>
      <c r="AE11" s="8">
        <v>2024</v>
      </c>
      <c r="AF11" s="8" t="s">
        <v>815</v>
      </c>
      <c r="AG11" s="8" t="s">
        <v>872</v>
      </c>
    </row>
    <row r="12" spans="1:33" ht="39.6" customHeight="1">
      <c r="A12" s="8" t="s">
        <v>899</v>
      </c>
      <c r="B12" s="8" t="s">
        <v>175</v>
      </c>
      <c r="C12" s="8" t="s">
        <v>176</v>
      </c>
      <c r="D12" s="8" t="s">
        <v>177</v>
      </c>
      <c r="E12" s="8" t="s">
        <v>176</v>
      </c>
      <c r="F12" s="8" t="s">
        <v>64</v>
      </c>
      <c r="G12" s="8" t="s">
        <v>178</v>
      </c>
      <c r="H12" s="8">
        <v>2024</v>
      </c>
      <c r="I12" s="8">
        <v>5.5</v>
      </c>
      <c r="J12" s="8" t="s">
        <v>844</v>
      </c>
      <c r="K12" s="8" t="s">
        <v>900</v>
      </c>
      <c r="L12" s="8">
        <v>2024</v>
      </c>
      <c r="M12" s="8" t="s">
        <v>799</v>
      </c>
      <c r="N12" s="8" t="s">
        <v>901</v>
      </c>
      <c r="O12" s="8" t="s">
        <v>902</v>
      </c>
      <c r="P12" s="8" t="s">
        <v>903</v>
      </c>
      <c r="Q12" s="8" t="s">
        <v>904</v>
      </c>
      <c r="R12" s="8" t="s">
        <v>905</v>
      </c>
      <c r="S12" s="8" t="s">
        <v>906</v>
      </c>
      <c r="T12" s="8" t="s">
        <v>905</v>
      </c>
      <c r="U12" s="8" t="s">
        <v>806</v>
      </c>
      <c r="V12" s="8" t="s">
        <v>807</v>
      </c>
      <c r="W12" s="8" t="s">
        <v>808</v>
      </c>
      <c r="X12" s="8" t="s">
        <v>852</v>
      </c>
      <c r="Y12" s="8" t="s">
        <v>869</v>
      </c>
      <c r="Z12" s="8" t="s">
        <v>907</v>
      </c>
      <c r="AA12" s="8" t="s">
        <v>908</v>
      </c>
      <c r="AB12" s="8" t="s">
        <v>813</v>
      </c>
      <c r="AC12" s="8" t="s">
        <v>909</v>
      </c>
      <c r="AD12" s="8">
        <v>2024</v>
      </c>
      <c r="AE12" s="8">
        <v>2024</v>
      </c>
      <c r="AF12" s="8" t="s">
        <v>815</v>
      </c>
      <c r="AG12" s="8" t="s">
        <v>872</v>
      </c>
    </row>
    <row r="13" spans="1:33" ht="39.6" customHeight="1">
      <c r="A13" s="8" t="s">
        <v>910</v>
      </c>
      <c r="B13" s="8" t="s">
        <v>180</v>
      </c>
      <c r="C13" s="8" t="s">
        <v>911</v>
      </c>
      <c r="D13" s="8" t="s">
        <v>182</v>
      </c>
      <c r="E13" s="8" t="s">
        <v>912</v>
      </c>
      <c r="F13" s="8" t="s">
        <v>26</v>
      </c>
      <c r="G13" s="8" t="s">
        <v>104</v>
      </c>
      <c r="H13" s="8">
        <v>2024</v>
      </c>
      <c r="I13" s="8">
        <v>64</v>
      </c>
      <c r="J13" s="8" t="s">
        <v>861</v>
      </c>
      <c r="K13" s="8" t="s">
        <v>862</v>
      </c>
      <c r="L13" s="8">
        <v>2026</v>
      </c>
      <c r="M13" s="8" t="s">
        <v>799</v>
      </c>
      <c r="N13" s="8" t="s">
        <v>863</v>
      </c>
      <c r="O13" s="8" t="s">
        <v>913</v>
      </c>
      <c r="P13" s="8" t="s">
        <v>914</v>
      </c>
      <c r="Q13" s="8" t="s">
        <v>915</v>
      </c>
      <c r="R13" s="8" t="s">
        <v>916</v>
      </c>
      <c r="S13" s="8" t="s">
        <v>917</v>
      </c>
      <c r="T13" s="8" t="s">
        <v>807</v>
      </c>
      <c r="U13" s="8" t="s">
        <v>806</v>
      </c>
      <c r="V13" s="8" t="s">
        <v>807</v>
      </c>
      <c r="W13" s="8" t="s">
        <v>808</v>
      </c>
      <c r="X13" s="8" t="s">
        <v>852</v>
      </c>
      <c r="Y13" s="8" t="s">
        <v>869</v>
      </c>
      <c r="Z13" s="8" t="s">
        <v>870</v>
      </c>
      <c r="AA13" s="8" t="s">
        <v>918</v>
      </c>
      <c r="AB13" s="8" t="s">
        <v>919</v>
      </c>
      <c r="AC13" s="8" t="s">
        <v>868</v>
      </c>
      <c r="AD13" s="8">
        <v>2026</v>
      </c>
      <c r="AE13" s="8">
        <v>2024</v>
      </c>
      <c r="AF13" s="8" t="s">
        <v>920</v>
      </c>
      <c r="AG13" s="8" t="s">
        <v>872</v>
      </c>
    </row>
    <row r="14" spans="1:33" ht="52.8" customHeight="1">
      <c r="A14" s="8" t="s">
        <v>921</v>
      </c>
      <c r="B14" s="8" t="s">
        <v>189</v>
      </c>
      <c r="C14" s="8" t="s">
        <v>922</v>
      </c>
      <c r="D14" s="8" t="s">
        <v>191</v>
      </c>
      <c r="E14" s="8" t="s">
        <v>192</v>
      </c>
      <c r="F14" s="8" t="s">
        <v>155</v>
      </c>
      <c r="G14" s="8" t="s">
        <v>104</v>
      </c>
      <c r="H14" s="8">
        <v>2024</v>
      </c>
      <c r="I14" s="8">
        <v>8</v>
      </c>
      <c r="J14" s="8" t="s">
        <v>861</v>
      </c>
      <c r="K14" s="8" t="s">
        <v>862</v>
      </c>
      <c r="L14" s="8">
        <v>2026</v>
      </c>
      <c r="M14" s="8" t="s">
        <v>799</v>
      </c>
      <c r="N14" s="8" t="s">
        <v>863</v>
      </c>
      <c r="O14" s="8" t="s">
        <v>923</v>
      </c>
      <c r="P14" s="8" t="s">
        <v>924</v>
      </c>
      <c r="Q14" s="8" t="s">
        <v>925</v>
      </c>
      <c r="R14" s="8" t="s">
        <v>926</v>
      </c>
      <c r="S14" s="8" t="s">
        <v>927</v>
      </c>
      <c r="T14" s="8" t="s">
        <v>807</v>
      </c>
      <c r="U14" s="8" t="s">
        <v>806</v>
      </c>
      <c r="V14" s="8" t="s">
        <v>807</v>
      </c>
      <c r="W14" s="8" t="s">
        <v>808</v>
      </c>
      <c r="X14" s="8" t="s">
        <v>928</v>
      </c>
      <c r="Y14" s="8" t="s">
        <v>853</v>
      </c>
      <c r="Z14" s="8" t="s">
        <v>854</v>
      </c>
      <c r="AA14" s="8" t="s">
        <v>929</v>
      </c>
      <c r="AB14" s="8" t="s">
        <v>856</v>
      </c>
      <c r="AC14" s="8" t="s">
        <v>868</v>
      </c>
      <c r="AD14" s="8">
        <v>2026</v>
      </c>
      <c r="AE14" s="8">
        <v>2024</v>
      </c>
      <c r="AF14" s="8" t="s">
        <v>920</v>
      </c>
      <c r="AG14" s="8" t="s">
        <v>858</v>
      </c>
    </row>
    <row r="15" spans="1:33" ht="52.8" customHeight="1">
      <c r="A15" s="8" t="s">
        <v>930</v>
      </c>
      <c r="B15" s="8" t="s">
        <v>208</v>
      </c>
      <c r="C15" s="8" t="s">
        <v>931</v>
      </c>
      <c r="D15" s="8" t="s">
        <v>210</v>
      </c>
      <c r="E15" s="8" t="s">
        <v>931</v>
      </c>
      <c r="F15" s="8" t="s">
        <v>26</v>
      </c>
      <c r="G15" s="8" t="s">
        <v>104</v>
      </c>
      <c r="H15" s="8">
        <v>2020</v>
      </c>
      <c r="I15" s="8">
        <v>3.9</v>
      </c>
      <c r="J15" s="8" t="s">
        <v>861</v>
      </c>
      <c r="K15" s="8" t="s">
        <v>932</v>
      </c>
      <c r="L15" s="8">
        <v>2021</v>
      </c>
      <c r="M15" s="8" t="s">
        <v>799</v>
      </c>
      <c r="N15" s="8" t="s">
        <v>933</v>
      </c>
      <c r="O15" s="8" t="s">
        <v>934</v>
      </c>
      <c r="P15" s="8" t="s">
        <v>935</v>
      </c>
      <c r="Q15" s="8" t="s">
        <v>936</v>
      </c>
      <c r="R15" s="8" t="s">
        <v>937</v>
      </c>
      <c r="S15" s="8" t="s">
        <v>807</v>
      </c>
      <c r="T15" s="8" t="s">
        <v>938</v>
      </c>
      <c r="U15" s="8" t="s">
        <v>806</v>
      </c>
      <c r="V15" s="8" t="s">
        <v>807</v>
      </c>
      <c r="W15" s="8" t="s">
        <v>808</v>
      </c>
      <c r="X15" s="8" t="s">
        <v>852</v>
      </c>
      <c r="Y15" s="8" t="s">
        <v>869</v>
      </c>
      <c r="Z15" s="8" t="s">
        <v>939</v>
      </c>
      <c r="AA15" s="8" t="s">
        <v>940</v>
      </c>
      <c r="AB15" s="8" t="s">
        <v>941</v>
      </c>
      <c r="AC15" s="8" t="s">
        <v>942</v>
      </c>
      <c r="AD15" s="8">
        <v>2021</v>
      </c>
      <c r="AE15" s="8">
        <v>2020</v>
      </c>
      <c r="AF15" s="8" t="s">
        <v>943</v>
      </c>
      <c r="AG15" s="8" t="s">
        <v>872</v>
      </c>
    </row>
    <row r="16" spans="1:33" ht="52.8" customHeight="1">
      <c r="A16" s="8" t="s">
        <v>944</v>
      </c>
      <c r="B16" s="8" t="s">
        <v>246</v>
      </c>
      <c r="C16" s="8" t="s">
        <v>945</v>
      </c>
      <c r="D16" s="8" t="s">
        <v>248</v>
      </c>
      <c r="E16" s="8" t="s">
        <v>946</v>
      </c>
      <c r="F16" s="8" t="s">
        <v>26</v>
      </c>
      <c r="G16" s="8" t="s">
        <v>947</v>
      </c>
      <c r="H16" s="8">
        <v>2020</v>
      </c>
      <c r="I16" s="8">
        <v>76</v>
      </c>
      <c r="J16" s="8" t="s">
        <v>861</v>
      </c>
      <c r="K16" s="8" t="s">
        <v>932</v>
      </c>
      <c r="L16" s="8">
        <v>2021</v>
      </c>
      <c r="M16" s="8" t="s">
        <v>799</v>
      </c>
      <c r="N16" s="8" t="s">
        <v>933</v>
      </c>
      <c r="O16" s="8" t="s">
        <v>948</v>
      </c>
      <c r="P16" s="8" t="s">
        <v>949</v>
      </c>
      <c r="Q16" s="8" t="s">
        <v>950</v>
      </c>
      <c r="R16" s="8" t="s">
        <v>951</v>
      </c>
      <c r="S16" s="8" t="s">
        <v>952</v>
      </c>
      <c r="T16" s="8" t="s">
        <v>807</v>
      </c>
      <c r="U16" s="8" t="s">
        <v>806</v>
      </c>
      <c r="V16" s="8" t="s">
        <v>807</v>
      </c>
      <c r="W16" s="8" t="s">
        <v>808</v>
      </c>
      <c r="X16" s="8" t="s">
        <v>852</v>
      </c>
      <c r="Y16" s="8" t="s">
        <v>869</v>
      </c>
      <c r="Z16" s="8" t="s">
        <v>870</v>
      </c>
      <c r="AA16" s="8" t="s">
        <v>953</v>
      </c>
      <c r="AB16" s="8" t="s">
        <v>813</v>
      </c>
      <c r="AC16" s="8" t="s">
        <v>942</v>
      </c>
      <c r="AD16" s="8">
        <v>2021</v>
      </c>
      <c r="AE16" s="8">
        <v>2020</v>
      </c>
      <c r="AF16" s="8" t="s">
        <v>815</v>
      </c>
      <c r="AG16" s="8" t="s">
        <v>872</v>
      </c>
    </row>
    <row r="17" spans="1:33" ht="39.6" customHeight="1">
      <c r="A17" s="8" t="s">
        <v>954</v>
      </c>
      <c r="B17" s="8" t="s">
        <v>270</v>
      </c>
      <c r="C17" s="8" t="s">
        <v>955</v>
      </c>
      <c r="D17" s="8" t="s">
        <v>272</v>
      </c>
      <c r="E17" s="8" t="s">
        <v>955</v>
      </c>
      <c r="F17" s="8" t="s">
        <v>26</v>
      </c>
      <c r="G17" s="8" t="s">
        <v>34</v>
      </c>
      <c r="H17" s="8">
        <v>2024</v>
      </c>
      <c r="I17" s="8">
        <v>5.6</v>
      </c>
      <c r="J17" s="8" t="s">
        <v>797</v>
      </c>
      <c r="K17" s="8" t="s">
        <v>798</v>
      </c>
      <c r="L17" s="8">
        <v>2025</v>
      </c>
      <c r="M17" s="8" t="s">
        <v>799</v>
      </c>
      <c r="N17" s="8" t="s">
        <v>800</v>
      </c>
      <c r="O17" s="8" t="s">
        <v>956</v>
      </c>
      <c r="P17" s="8" t="s">
        <v>957</v>
      </c>
      <c r="Q17" s="8" t="s">
        <v>958</v>
      </c>
      <c r="R17" s="8" t="s">
        <v>959</v>
      </c>
      <c r="S17" s="8" t="s">
        <v>804</v>
      </c>
      <c r="T17" s="8" t="s">
        <v>807</v>
      </c>
      <c r="U17" s="8" t="s">
        <v>806</v>
      </c>
      <c r="V17" s="8" t="s">
        <v>807</v>
      </c>
      <c r="W17" s="8" t="s">
        <v>808</v>
      </c>
      <c r="X17" s="8" t="s">
        <v>809</v>
      </c>
      <c r="Y17" s="8" t="s">
        <v>810</v>
      </c>
      <c r="Z17" s="8" t="s">
        <v>811</v>
      </c>
      <c r="AA17" s="8" t="s">
        <v>960</v>
      </c>
      <c r="AB17" s="8" t="s">
        <v>813</v>
      </c>
      <c r="AC17" s="8" t="s">
        <v>814</v>
      </c>
      <c r="AD17" s="8">
        <v>2025</v>
      </c>
      <c r="AE17" s="8">
        <v>2024</v>
      </c>
      <c r="AF17" s="8" t="s">
        <v>815</v>
      </c>
      <c r="AG17" s="8" t="s">
        <v>816</v>
      </c>
    </row>
    <row r="18" spans="1:33" ht="39.6" customHeight="1">
      <c r="A18" s="8" t="s">
        <v>961</v>
      </c>
      <c r="B18" s="8" t="s">
        <v>275</v>
      </c>
      <c r="C18" s="8" t="s">
        <v>962</v>
      </c>
      <c r="D18" s="8" t="s">
        <v>277</v>
      </c>
      <c r="E18" s="8" t="s">
        <v>963</v>
      </c>
      <c r="F18" s="8" t="s">
        <v>39</v>
      </c>
      <c r="G18" s="8" t="s">
        <v>34</v>
      </c>
      <c r="H18" s="8">
        <v>2024</v>
      </c>
      <c r="I18" s="8">
        <v>1.02</v>
      </c>
      <c r="J18" s="8" t="s">
        <v>797</v>
      </c>
      <c r="K18" s="8" t="s">
        <v>798</v>
      </c>
      <c r="L18" s="8">
        <v>2025</v>
      </c>
      <c r="M18" s="8" t="s">
        <v>799</v>
      </c>
      <c r="N18" s="8" t="s">
        <v>800</v>
      </c>
      <c r="O18" s="8" t="s">
        <v>964</v>
      </c>
      <c r="P18" s="8" t="s">
        <v>965</v>
      </c>
      <c r="Q18" s="8" t="s">
        <v>966</v>
      </c>
      <c r="R18" s="8" t="s">
        <v>967</v>
      </c>
      <c r="S18" s="8" t="s">
        <v>804</v>
      </c>
      <c r="T18" s="8" t="s">
        <v>968</v>
      </c>
      <c r="U18" s="8" t="s">
        <v>806</v>
      </c>
      <c r="V18" s="8" t="s">
        <v>807</v>
      </c>
      <c r="W18" s="8" t="s">
        <v>808</v>
      </c>
      <c r="X18" s="8" t="s">
        <v>809</v>
      </c>
      <c r="Y18" s="8" t="s">
        <v>810</v>
      </c>
      <c r="Z18" s="8" t="s">
        <v>811</v>
      </c>
      <c r="AA18" s="8" t="s">
        <v>969</v>
      </c>
      <c r="AB18" s="8" t="s">
        <v>813</v>
      </c>
      <c r="AC18" s="8" t="s">
        <v>814</v>
      </c>
      <c r="AD18" s="8">
        <v>2025</v>
      </c>
      <c r="AE18" s="8">
        <v>2024</v>
      </c>
      <c r="AF18" s="8" t="s">
        <v>815</v>
      </c>
      <c r="AG18" s="8" t="s">
        <v>816</v>
      </c>
    </row>
    <row r="19" spans="1:33" ht="52.8" customHeight="1">
      <c r="A19" s="8" t="s">
        <v>970</v>
      </c>
      <c r="B19" s="8" t="s">
        <v>300</v>
      </c>
      <c r="C19" s="8" t="s">
        <v>971</v>
      </c>
      <c r="D19" s="8" t="s">
        <v>302</v>
      </c>
      <c r="E19" s="8" t="s">
        <v>972</v>
      </c>
      <c r="F19" s="8" t="s">
        <v>26</v>
      </c>
      <c r="G19" s="8" t="s">
        <v>104</v>
      </c>
      <c r="H19" s="8">
        <v>2020</v>
      </c>
      <c r="I19" s="8">
        <v>19.7</v>
      </c>
      <c r="J19" s="8" t="s">
        <v>861</v>
      </c>
      <c r="K19" s="8" t="s">
        <v>932</v>
      </c>
      <c r="L19" s="8">
        <v>2021</v>
      </c>
      <c r="M19" s="8" t="s">
        <v>799</v>
      </c>
      <c r="N19" s="8" t="s">
        <v>933</v>
      </c>
      <c r="O19" s="8" t="s">
        <v>973</v>
      </c>
      <c r="P19" s="8" t="s">
        <v>974</v>
      </c>
      <c r="Q19" s="8" t="s">
        <v>975</v>
      </c>
      <c r="R19" s="8" t="s">
        <v>976</v>
      </c>
      <c r="S19" s="8" t="s">
        <v>977</v>
      </c>
      <c r="T19" s="8" t="s">
        <v>978</v>
      </c>
      <c r="U19" s="8" t="s">
        <v>806</v>
      </c>
      <c r="V19" s="8" t="s">
        <v>807</v>
      </c>
      <c r="W19" s="8" t="s">
        <v>808</v>
      </c>
      <c r="X19" s="8" t="s">
        <v>852</v>
      </c>
      <c r="Y19" s="8" t="s">
        <v>869</v>
      </c>
      <c r="Z19" s="8" t="s">
        <v>979</v>
      </c>
      <c r="AA19" s="8" t="s">
        <v>980</v>
      </c>
      <c r="AB19" s="8" t="s">
        <v>919</v>
      </c>
      <c r="AC19" s="8" t="s">
        <v>981</v>
      </c>
      <c r="AD19" s="8">
        <v>2021</v>
      </c>
      <c r="AE19" s="8">
        <v>2020</v>
      </c>
      <c r="AF19" s="8" t="s">
        <v>982</v>
      </c>
      <c r="AG19" s="8" t="s">
        <v>872</v>
      </c>
    </row>
    <row r="20" spans="1:33" ht="52.8" customHeight="1">
      <c r="A20" s="8" t="s">
        <v>983</v>
      </c>
      <c r="B20" s="8" t="s">
        <v>305</v>
      </c>
      <c r="C20" s="8" t="s">
        <v>984</v>
      </c>
      <c r="D20" s="8" t="s">
        <v>307</v>
      </c>
      <c r="E20" s="8" t="s">
        <v>985</v>
      </c>
      <c r="F20" s="8" t="s">
        <v>26</v>
      </c>
      <c r="G20" s="8" t="s">
        <v>104</v>
      </c>
      <c r="H20" s="8">
        <v>2020</v>
      </c>
      <c r="I20" s="8">
        <v>8.6</v>
      </c>
      <c r="J20" s="8" t="s">
        <v>861</v>
      </c>
      <c r="K20" s="8" t="s">
        <v>932</v>
      </c>
      <c r="L20" s="8">
        <v>2021</v>
      </c>
      <c r="M20" s="8" t="s">
        <v>799</v>
      </c>
      <c r="N20" s="8" t="s">
        <v>933</v>
      </c>
      <c r="O20" s="8" t="s">
        <v>986</v>
      </c>
      <c r="P20" s="8" t="s">
        <v>987</v>
      </c>
      <c r="Q20" s="8" t="s">
        <v>988</v>
      </c>
      <c r="R20" s="8" t="s">
        <v>989</v>
      </c>
      <c r="S20" s="8" t="s">
        <v>990</v>
      </c>
      <c r="T20" s="8" t="s">
        <v>978</v>
      </c>
      <c r="U20" s="8" t="s">
        <v>806</v>
      </c>
      <c r="V20" s="8" t="s">
        <v>807</v>
      </c>
      <c r="W20" s="8" t="s">
        <v>808</v>
      </c>
      <c r="X20" s="8" t="s">
        <v>852</v>
      </c>
      <c r="Y20" s="8" t="s">
        <v>869</v>
      </c>
      <c r="Z20" s="8" t="s">
        <v>870</v>
      </c>
      <c r="AA20" s="8" t="s">
        <v>991</v>
      </c>
      <c r="AB20" s="8" t="s">
        <v>919</v>
      </c>
      <c r="AC20" s="8" t="s">
        <v>981</v>
      </c>
      <c r="AD20" s="8">
        <v>2021</v>
      </c>
      <c r="AE20" s="8">
        <v>2020</v>
      </c>
      <c r="AF20" s="8" t="s">
        <v>920</v>
      </c>
      <c r="AG20" s="8" t="s">
        <v>872</v>
      </c>
    </row>
    <row r="21" spans="1:33" ht="52.8" customHeight="1">
      <c r="A21" s="8" t="s">
        <v>992</v>
      </c>
      <c r="B21" s="8" t="s">
        <v>310</v>
      </c>
      <c r="C21" s="8" t="s">
        <v>993</v>
      </c>
      <c r="D21" s="8" t="s">
        <v>312</v>
      </c>
      <c r="E21" s="8" t="s">
        <v>993</v>
      </c>
      <c r="F21" s="8" t="s">
        <v>26</v>
      </c>
      <c r="G21" s="8" t="s">
        <v>104</v>
      </c>
      <c r="H21" s="8">
        <v>2020</v>
      </c>
      <c r="I21" s="8">
        <v>0.3</v>
      </c>
      <c r="J21" s="8" t="s">
        <v>861</v>
      </c>
      <c r="K21" s="8" t="s">
        <v>932</v>
      </c>
      <c r="L21" s="8">
        <v>2021</v>
      </c>
      <c r="M21" s="8" t="s">
        <v>799</v>
      </c>
      <c r="N21" s="8" t="s">
        <v>933</v>
      </c>
      <c r="O21" s="8" t="s">
        <v>994</v>
      </c>
      <c r="P21" s="8" t="s">
        <v>995</v>
      </c>
      <c r="Q21" s="8" t="s">
        <v>996</v>
      </c>
      <c r="R21" s="8" t="s">
        <v>997</v>
      </c>
      <c r="S21" s="8" t="s">
        <v>998</v>
      </c>
      <c r="T21" s="8" t="s">
        <v>999</v>
      </c>
      <c r="U21" s="8" t="s">
        <v>806</v>
      </c>
      <c r="V21" s="8" t="s">
        <v>807</v>
      </c>
      <c r="W21" s="8" t="s">
        <v>808</v>
      </c>
      <c r="X21" s="8" t="s">
        <v>809</v>
      </c>
      <c r="Y21" s="8" t="s">
        <v>810</v>
      </c>
      <c r="Z21" s="8" t="s">
        <v>811</v>
      </c>
      <c r="AA21" s="8" t="s">
        <v>1000</v>
      </c>
      <c r="AB21" s="8" t="s">
        <v>813</v>
      </c>
      <c r="AC21" s="8" t="s">
        <v>942</v>
      </c>
      <c r="AD21" s="8">
        <v>2021</v>
      </c>
      <c r="AE21" s="8">
        <v>2020</v>
      </c>
      <c r="AF21" s="8" t="s">
        <v>815</v>
      </c>
      <c r="AG21" s="8" t="s">
        <v>816</v>
      </c>
    </row>
    <row r="22" spans="1:33" ht="66" customHeight="1">
      <c r="A22" s="8" t="s">
        <v>1001</v>
      </c>
      <c r="B22" s="8" t="s">
        <v>317</v>
      </c>
      <c r="C22" s="8" t="s">
        <v>1002</v>
      </c>
      <c r="D22" s="8" t="s">
        <v>319</v>
      </c>
      <c r="E22" s="8" t="s">
        <v>321</v>
      </c>
      <c r="F22" s="8" t="s">
        <v>57</v>
      </c>
      <c r="G22" s="8" t="s">
        <v>320</v>
      </c>
      <c r="H22" s="8">
        <v>2024</v>
      </c>
      <c r="I22" s="8">
        <v>17.7</v>
      </c>
      <c r="J22" s="8" t="s">
        <v>1003</v>
      </c>
      <c r="K22" s="8" t="s">
        <v>1004</v>
      </c>
      <c r="L22" s="8">
        <v>2025</v>
      </c>
      <c r="M22" s="8" t="s">
        <v>799</v>
      </c>
      <c r="N22" s="8" t="s">
        <v>1005</v>
      </c>
      <c r="O22" s="8" t="s">
        <v>1006</v>
      </c>
      <c r="P22" s="8" t="s">
        <v>1007</v>
      </c>
      <c r="Q22" s="8" t="s">
        <v>1008</v>
      </c>
      <c r="R22" s="8" t="s">
        <v>1009</v>
      </c>
      <c r="S22" s="8" t="s">
        <v>804</v>
      </c>
      <c r="T22" s="8" t="s">
        <v>807</v>
      </c>
      <c r="U22" s="8" t="s">
        <v>806</v>
      </c>
      <c r="V22" s="8" t="s">
        <v>807</v>
      </c>
      <c r="W22" s="8" t="s">
        <v>1010</v>
      </c>
      <c r="X22" s="8" t="s">
        <v>852</v>
      </c>
      <c r="Y22" s="8" t="s">
        <v>869</v>
      </c>
      <c r="Z22" s="8" t="s">
        <v>870</v>
      </c>
      <c r="AA22" s="8" t="s">
        <v>1011</v>
      </c>
      <c r="AB22" s="8" t="s">
        <v>919</v>
      </c>
      <c r="AC22" s="8" t="s">
        <v>839</v>
      </c>
      <c r="AD22" s="8">
        <v>2025</v>
      </c>
      <c r="AE22" s="8">
        <v>2024</v>
      </c>
      <c r="AF22" s="8" t="s">
        <v>920</v>
      </c>
      <c r="AG22" s="8" t="s">
        <v>872</v>
      </c>
    </row>
    <row r="23" spans="1:33" ht="39.6" customHeight="1">
      <c r="A23" s="8" t="s">
        <v>1012</v>
      </c>
      <c r="B23" s="8" t="s">
        <v>330</v>
      </c>
      <c r="C23" s="8" t="s">
        <v>333</v>
      </c>
      <c r="D23" s="8" t="s">
        <v>332</v>
      </c>
      <c r="E23" s="8" t="s">
        <v>333</v>
      </c>
      <c r="F23" s="8" t="s">
        <v>26</v>
      </c>
      <c r="G23" s="8" t="s">
        <v>320</v>
      </c>
      <c r="H23" s="8">
        <v>2023</v>
      </c>
      <c r="I23" s="8">
        <v>39.6</v>
      </c>
      <c r="J23" s="8" t="s">
        <v>1003</v>
      </c>
      <c r="K23" s="8" t="s">
        <v>1004</v>
      </c>
      <c r="L23" s="8">
        <v>2025</v>
      </c>
      <c r="M23" s="8" t="s">
        <v>799</v>
      </c>
      <c r="N23" s="8" t="s">
        <v>1005</v>
      </c>
      <c r="O23" s="8" t="s">
        <v>1013</v>
      </c>
      <c r="P23" s="8" t="s">
        <v>1007</v>
      </c>
      <c r="Q23" s="8" t="s">
        <v>1014</v>
      </c>
      <c r="R23" s="8" t="s">
        <v>1015</v>
      </c>
      <c r="S23" s="8" t="s">
        <v>187</v>
      </c>
      <c r="T23" s="8" t="s">
        <v>1016</v>
      </c>
      <c r="U23" s="8" t="s">
        <v>806</v>
      </c>
      <c r="V23" s="8" t="s">
        <v>807</v>
      </c>
      <c r="W23" s="8" t="s">
        <v>1010</v>
      </c>
      <c r="X23" s="8" t="s">
        <v>852</v>
      </c>
      <c r="Y23" s="8" t="s">
        <v>869</v>
      </c>
      <c r="Z23" s="8" t="s">
        <v>870</v>
      </c>
      <c r="AA23" s="8" t="s">
        <v>1017</v>
      </c>
      <c r="AB23" s="8" t="s">
        <v>919</v>
      </c>
      <c r="AC23" s="8" t="s">
        <v>1018</v>
      </c>
      <c r="AD23" s="8">
        <v>2025</v>
      </c>
      <c r="AE23" s="8">
        <v>2023</v>
      </c>
      <c r="AF23" s="8" t="s">
        <v>920</v>
      </c>
      <c r="AG23" s="8" t="s">
        <v>872</v>
      </c>
    </row>
    <row r="24" spans="1:33" ht="52.8" customHeight="1">
      <c r="A24" s="8" t="s">
        <v>1019</v>
      </c>
      <c r="B24" s="8" t="s">
        <v>335</v>
      </c>
      <c r="C24" s="8" t="s">
        <v>1020</v>
      </c>
      <c r="D24" s="8" t="s">
        <v>337</v>
      </c>
      <c r="E24" s="8" t="s">
        <v>1021</v>
      </c>
      <c r="F24" s="8" t="s">
        <v>26</v>
      </c>
      <c r="G24" s="8" t="s">
        <v>104</v>
      </c>
      <c r="H24" s="8">
        <v>2020</v>
      </c>
      <c r="I24" s="8">
        <v>63.1</v>
      </c>
      <c r="J24" s="8" t="s">
        <v>861</v>
      </c>
      <c r="K24" s="8" t="s">
        <v>932</v>
      </c>
      <c r="L24" s="8">
        <v>2021</v>
      </c>
      <c r="M24" s="8" t="s">
        <v>799</v>
      </c>
      <c r="N24" s="8" t="s">
        <v>933</v>
      </c>
      <c r="O24" s="8" t="s">
        <v>994</v>
      </c>
      <c r="P24" s="8" t="s">
        <v>1022</v>
      </c>
      <c r="Q24" s="8" t="s">
        <v>1023</v>
      </c>
      <c r="R24" s="8" t="s">
        <v>1024</v>
      </c>
      <c r="S24" s="8" t="s">
        <v>990</v>
      </c>
      <c r="T24" s="8" t="s">
        <v>807</v>
      </c>
      <c r="U24" s="8" t="s">
        <v>806</v>
      </c>
      <c r="V24" s="8" t="s">
        <v>807</v>
      </c>
      <c r="W24" s="8" t="s">
        <v>1025</v>
      </c>
      <c r="X24" s="8" t="s">
        <v>852</v>
      </c>
      <c r="Y24" s="8" t="s">
        <v>869</v>
      </c>
      <c r="Z24" s="8" t="s">
        <v>870</v>
      </c>
      <c r="AA24" s="8" t="s">
        <v>1026</v>
      </c>
      <c r="AB24" s="8" t="s">
        <v>813</v>
      </c>
      <c r="AC24" s="8" t="s">
        <v>942</v>
      </c>
      <c r="AD24" s="8">
        <v>2021</v>
      </c>
      <c r="AE24" s="8">
        <v>2020</v>
      </c>
      <c r="AF24" s="8" t="s">
        <v>815</v>
      </c>
      <c r="AG24" s="8" t="s">
        <v>872</v>
      </c>
    </row>
    <row r="25" spans="1:33" ht="39.6" customHeight="1">
      <c r="A25" s="8" t="s">
        <v>1027</v>
      </c>
      <c r="B25" s="8" t="s">
        <v>399</v>
      </c>
      <c r="C25" s="8" t="s">
        <v>400</v>
      </c>
      <c r="D25" s="8" t="s">
        <v>401</v>
      </c>
      <c r="E25" s="8" t="s">
        <v>402</v>
      </c>
      <c r="F25" s="8" t="s">
        <v>26</v>
      </c>
      <c r="G25" s="8" t="s">
        <v>34</v>
      </c>
      <c r="H25" s="8">
        <v>2024</v>
      </c>
      <c r="I25" s="8">
        <v>5.4</v>
      </c>
      <c r="J25" s="8" t="s">
        <v>797</v>
      </c>
      <c r="K25" s="8" t="s">
        <v>798</v>
      </c>
      <c r="L25" s="8">
        <v>2025</v>
      </c>
      <c r="M25" s="8" t="s">
        <v>799</v>
      </c>
      <c r="N25" s="8" t="s">
        <v>800</v>
      </c>
      <c r="O25" s="8" t="s">
        <v>1028</v>
      </c>
      <c r="P25" s="8" t="s">
        <v>1029</v>
      </c>
      <c r="Q25" s="8" t="s">
        <v>1030</v>
      </c>
      <c r="R25" s="8" t="s">
        <v>1031</v>
      </c>
      <c r="S25" s="8" t="s">
        <v>804</v>
      </c>
      <c r="T25" s="8" t="s">
        <v>1032</v>
      </c>
      <c r="U25" s="8" t="s">
        <v>806</v>
      </c>
      <c r="V25" s="8" t="s">
        <v>807</v>
      </c>
      <c r="W25" s="8" t="s">
        <v>808</v>
      </c>
      <c r="X25" s="8" t="s">
        <v>852</v>
      </c>
      <c r="Y25" s="8" t="s">
        <v>869</v>
      </c>
      <c r="Z25" s="8" t="s">
        <v>1033</v>
      </c>
      <c r="AA25" s="8" t="s">
        <v>1034</v>
      </c>
      <c r="AB25" s="8" t="s">
        <v>941</v>
      </c>
      <c r="AC25" s="8" t="s">
        <v>814</v>
      </c>
      <c r="AD25" s="8">
        <v>2025</v>
      </c>
      <c r="AE25" s="8">
        <v>2024</v>
      </c>
      <c r="AF25" s="8" t="s">
        <v>1035</v>
      </c>
      <c r="AG25" s="8" t="s">
        <v>872</v>
      </c>
    </row>
    <row r="26" spans="1:33" ht="52.8" customHeight="1">
      <c r="A26" s="8" t="s">
        <v>1036</v>
      </c>
      <c r="B26" s="8" t="s">
        <v>414</v>
      </c>
      <c r="C26" s="8" t="s">
        <v>415</v>
      </c>
      <c r="D26" s="8" t="s">
        <v>416</v>
      </c>
      <c r="E26" s="8" t="s">
        <v>415</v>
      </c>
      <c r="F26" s="8" t="s">
        <v>26</v>
      </c>
      <c r="G26" s="8" t="s">
        <v>417</v>
      </c>
      <c r="H26" s="8">
        <v>2024</v>
      </c>
      <c r="I26" s="8">
        <v>6.5</v>
      </c>
      <c r="J26" s="8" t="s">
        <v>1037</v>
      </c>
      <c r="K26" s="8" t="s">
        <v>1038</v>
      </c>
      <c r="L26" s="8">
        <v>2025</v>
      </c>
      <c r="M26" s="8" t="s">
        <v>799</v>
      </c>
      <c r="N26" s="8" t="s">
        <v>1039</v>
      </c>
      <c r="O26" s="8" t="s">
        <v>1040</v>
      </c>
      <c r="P26" s="8" t="s">
        <v>1041</v>
      </c>
      <c r="Q26" s="8" t="s">
        <v>415</v>
      </c>
      <c r="R26" s="8" t="s">
        <v>1042</v>
      </c>
      <c r="S26" s="8" t="s">
        <v>804</v>
      </c>
      <c r="T26" s="8" t="s">
        <v>839</v>
      </c>
      <c r="U26" s="8" t="s">
        <v>806</v>
      </c>
      <c r="V26" s="8" t="s">
        <v>807</v>
      </c>
      <c r="W26" s="8" t="s">
        <v>1043</v>
      </c>
      <c r="X26" s="8" t="s">
        <v>852</v>
      </c>
      <c r="Y26" s="8" t="s">
        <v>869</v>
      </c>
      <c r="Z26" s="8" t="s">
        <v>870</v>
      </c>
      <c r="AA26" s="8" t="s">
        <v>1044</v>
      </c>
      <c r="AB26" s="8" t="s">
        <v>941</v>
      </c>
      <c r="AC26" s="8" t="s">
        <v>839</v>
      </c>
      <c r="AD26" s="8">
        <v>2025</v>
      </c>
      <c r="AE26" s="8">
        <v>2024</v>
      </c>
      <c r="AF26" s="8" t="s">
        <v>1045</v>
      </c>
      <c r="AG26" s="8" t="s">
        <v>872</v>
      </c>
    </row>
    <row r="27" spans="1:33" ht="39.6" customHeight="1">
      <c r="A27" s="8" t="s">
        <v>1046</v>
      </c>
      <c r="B27" s="8" t="s">
        <v>424</v>
      </c>
      <c r="C27" s="8" t="s">
        <v>1047</v>
      </c>
      <c r="D27" s="8" t="s">
        <v>426</v>
      </c>
      <c r="E27" s="8" t="s">
        <v>427</v>
      </c>
      <c r="F27" s="8" t="s">
        <v>26</v>
      </c>
      <c r="G27" s="8" t="s">
        <v>320</v>
      </c>
      <c r="H27" s="8">
        <v>2024</v>
      </c>
      <c r="I27" s="8">
        <v>85.5</v>
      </c>
      <c r="J27" s="8" t="s">
        <v>1003</v>
      </c>
      <c r="K27" s="8" t="s">
        <v>1004</v>
      </c>
      <c r="L27" s="8">
        <v>2025</v>
      </c>
      <c r="M27" s="8" t="s">
        <v>799</v>
      </c>
      <c r="N27" s="8" t="s">
        <v>1005</v>
      </c>
      <c r="O27" s="8" t="s">
        <v>1048</v>
      </c>
      <c r="P27" s="8" t="s">
        <v>1049</v>
      </c>
      <c r="Q27" s="8" t="s">
        <v>1050</v>
      </c>
      <c r="R27" s="8" t="s">
        <v>1051</v>
      </c>
      <c r="S27" s="8" t="s">
        <v>839</v>
      </c>
      <c r="T27" s="8" t="s">
        <v>1052</v>
      </c>
      <c r="U27" s="8" t="s">
        <v>806</v>
      </c>
      <c r="V27" s="8" t="s">
        <v>807</v>
      </c>
      <c r="W27" s="8" t="s">
        <v>808</v>
      </c>
      <c r="X27" s="8" t="s">
        <v>809</v>
      </c>
      <c r="Y27" s="8" t="s">
        <v>810</v>
      </c>
      <c r="Z27" s="8" t="s">
        <v>811</v>
      </c>
      <c r="AA27" s="8" t="s">
        <v>1053</v>
      </c>
      <c r="AB27" s="8" t="s">
        <v>813</v>
      </c>
      <c r="AC27" s="8" t="s">
        <v>839</v>
      </c>
      <c r="AD27" s="8">
        <v>2025</v>
      </c>
      <c r="AE27" s="8">
        <v>2024</v>
      </c>
      <c r="AF27" s="8" t="s">
        <v>815</v>
      </c>
      <c r="AG27" s="8" t="s">
        <v>816</v>
      </c>
    </row>
    <row r="28" spans="1:33" ht="52.8" customHeight="1">
      <c r="A28" s="8" t="s">
        <v>1054</v>
      </c>
      <c r="B28" s="8" t="s">
        <v>429</v>
      </c>
      <c r="C28" s="8" t="s">
        <v>1055</v>
      </c>
      <c r="D28" s="8" t="s">
        <v>431</v>
      </c>
      <c r="E28" s="8" t="s">
        <v>434</v>
      </c>
      <c r="F28" s="8" t="s">
        <v>57</v>
      </c>
      <c r="G28" s="8" t="s">
        <v>320</v>
      </c>
      <c r="H28" s="8">
        <v>2023</v>
      </c>
      <c r="I28" s="8">
        <v>3496.2608515765401</v>
      </c>
      <c r="J28" s="8" t="s">
        <v>1003</v>
      </c>
      <c r="K28" s="8" t="s">
        <v>1056</v>
      </c>
      <c r="L28" s="8">
        <v>2024</v>
      </c>
      <c r="M28" s="8" t="s">
        <v>1057</v>
      </c>
      <c r="N28" s="8" t="s">
        <v>1005</v>
      </c>
      <c r="O28" s="8" t="s">
        <v>1058</v>
      </c>
      <c r="P28" s="8" t="s">
        <v>1059</v>
      </c>
      <c r="Q28" s="8" t="s">
        <v>434</v>
      </c>
      <c r="R28" s="8" t="s">
        <v>434</v>
      </c>
      <c r="S28" s="8" t="s">
        <v>804</v>
      </c>
      <c r="T28" s="8" t="s">
        <v>1060</v>
      </c>
      <c r="U28" s="8" t="s">
        <v>806</v>
      </c>
      <c r="V28" s="8" t="s">
        <v>807</v>
      </c>
      <c r="W28" s="8" t="s">
        <v>1043</v>
      </c>
      <c r="X28" s="8" t="s">
        <v>852</v>
      </c>
      <c r="Y28" s="8" t="s">
        <v>869</v>
      </c>
      <c r="Z28" s="8" t="s">
        <v>870</v>
      </c>
      <c r="AA28" s="8" t="s">
        <v>1061</v>
      </c>
      <c r="AB28" s="8" t="s">
        <v>919</v>
      </c>
      <c r="AC28" s="8" t="s">
        <v>1018</v>
      </c>
      <c r="AD28" s="8">
        <v>2024</v>
      </c>
      <c r="AE28" s="8">
        <v>2023</v>
      </c>
      <c r="AF28" s="8" t="s">
        <v>920</v>
      </c>
      <c r="AG28" s="8" t="s">
        <v>872</v>
      </c>
    </row>
    <row r="29" spans="1:33" ht="39.6" customHeight="1">
      <c r="A29" s="8" t="s">
        <v>1062</v>
      </c>
      <c r="B29" s="8" t="s">
        <v>436</v>
      </c>
      <c r="C29" s="8" t="s">
        <v>437</v>
      </c>
      <c r="D29" s="8" t="s">
        <v>438</v>
      </c>
      <c r="E29" s="8" t="s">
        <v>439</v>
      </c>
      <c r="F29" s="8" t="s">
        <v>26</v>
      </c>
      <c r="G29" s="8" t="s">
        <v>320</v>
      </c>
      <c r="H29" s="8">
        <v>2024</v>
      </c>
      <c r="I29" s="8">
        <v>14.93</v>
      </c>
      <c r="J29" s="8" t="s">
        <v>1003</v>
      </c>
      <c r="K29" s="8" t="s">
        <v>1004</v>
      </c>
      <c r="L29" s="8">
        <v>2025</v>
      </c>
      <c r="M29" s="8" t="s">
        <v>799</v>
      </c>
      <c r="N29" s="8" t="s">
        <v>1005</v>
      </c>
      <c r="O29" s="8" t="s">
        <v>1063</v>
      </c>
      <c r="P29" s="8" t="s">
        <v>1064</v>
      </c>
      <c r="Q29" s="8" t="s">
        <v>1065</v>
      </c>
      <c r="R29" s="8" t="s">
        <v>439</v>
      </c>
      <c r="S29" s="8" t="s">
        <v>804</v>
      </c>
      <c r="T29" s="8" t="s">
        <v>807</v>
      </c>
      <c r="U29" s="8" t="s">
        <v>806</v>
      </c>
      <c r="V29" s="8" t="s">
        <v>807</v>
      </c>
      <c r="W29" s="8" t="s">
        <v>808</v>
      </c>
      <c r="X29" s="8" t="s">
        <v>809</v>
      </c>
      <c r="Y29" s="8" t="s">
        <v>810</v>
      </c>
      <c r="Z29" s="8" t="s">
        <v>811</v>
      </c>
      <c r="AA29" s="8" t="s">
        <v>1066</v>
      </c>
      <c r="AB29" s="8" t="s">
        <v>813</v>
      </c>
      <c r="AC29" s="8" t="s">
        <v>839</v>
      </c>
      <c r="AD29" s="8">
        <v>2025</v>
      </c>
      <c r="AE29" s="8">
        <v>2024</v>
      </c>
      <c r="AF29" s="8" t="s">
        <v>815</v>
      </c>
      <c r="AG29" s="8" t="s">
        <v>816</v>
      </c>
    </row>
    <row r="30" spans="1:33" ht="39.6" customHeight="1">
      <c r="A30" s="8" t="s">
        <v>1067</v>
      </c>
      <c r="B30" s="8" t="s">
        <v>441</v>
      </c>
      <c r="C30" s="8" t="s">
        <v>1068</v>
      </c>
      <c r="D30" s="8" t="s">
        <v>443</v>
      </c>
      <c r="E30" s="8" t="s">
        <v>444</v>
      </c>
      <c r="F30" s="8" t="s">
        <v>26</v>
      </c>
      <c r="G30" s="8" t="s">
        <v>320</v>
      </c>
      <c r="H30" s="8">
        <v>2024</v>
      </c>
      <c r="I30" s="8">
        <v>26.8</v>
      </c>
      <c r="J30" s="8" t="s">
        <v>1003</v>
      </c>
      <c r="K30" s="8" t="s">
        <v>1004</v>
      </c>
      <c r="L30" s="8">
        <v>2025</v>
      </c>
      <c r="M30" s="8" t="s">
        <v>799</v>
      </c>
      <c r="N30" s="8" t="s">
        <v>1005</v>
      </c>
      <c r="O30" s="8" t="s">
        <v>1069</v>
      </c>
      <c r="P30" s="8" t="s">
        <v>1070</v>
      </c>
      <c r="Q30" s="8" t="s">
        <v>1071</v>
      </c>
      <c r="R30" s="8" t="s">
        <v>1072</v>
      </c>
      <c r="S30" s="8" t="s">
        <v>1073</v>
      </c>
      <c r="T30" s="8" t="s">
        <v>839</v>
      </c>
      <c r="U30" s="8" t="s">
        <v>806</v>
      </c>
      <c r="V30" s="8" t="s">
        <v>807</v>
      </c>
      <c r="W30" s="8" t="s">
        <v>808</v>
      </c>
      <c r="X30" s="8" t="s">
        <v>852</v>
      </c>
      <c r="Y30" s="8" t="s">
        <v>869</v>
      </c>
      <c r="Z30" s="8" t="s">
        <v>1074</v>
      </c>
      <c r="AA30" s="8" t="s">
        <v>1075</v>
      </c>
      <c r="AB30" s="8" t="s">
        <v>919</v>
      </c>
      <c r="AC30" s="8" t="s">
        <v>839</v>
      </c>
      <c r="AD30" s="8">
        <v>2025</v>
      </c>
      <c r="AE30" s="8">
        <v>2024</v>
      </c>
      <c r="AF30" s="8" t="s">
        <v>920</v>
      </c>
      <c r="AG30" s="8" t="s">
        <v>872</v>
      </c>
    </row>
    <row r="31" spans="1:33" ht="39.6" customHeight="1">
      <c r="A31" s="8" t="s">
        <v>1076</v>
      </c>
      <c r="B31" s="8" t="s">
        <v>448</v>
      </c>
      <c r="C31" s="8" t="s">
        <v>1077</v>
      </c>
      <c r="D31" s="8" t="s">
        <v>450</v>
      </c>
      <c r="E31" s="8" t="s">
        <v>451</v>
      </c>
      <c r="F31" s="8" t="s">
        <v>26</v>
      </c>
      <c r="G31" s="8" t="s">
        <v>34</v>
      </c>
      <c r="H31" s="8">
        <v>2024</v>
      </c>
      <c r="I31" s="8">
        <v>3.3</v>
      </c>
      <c r="J31" s="8" t="s">
        <v>797</v>
      </c>
      <c r="K31" s="8" t="s">
        <v>798</v>
      </c>
      <c r="L31" s="8">
        <v>2025</v>
      </c>
      <c r="M31" s="8" t="s">
        <v>799</v>
      </c>
      <c r="N31" s="8" t="s">
        <v>800</v>
      </c>
      <c r="O31" s="8" t="s">
        <v>1078</v>
      </c>
      <c r="P31" s="8" t="s">
        <v>1007</v>
      </c>
      <c r="Q31" s="8" t="s">
        <v>1079</v>
      </c>
      <c r="R31" s="8" t="s">
        <v>1080</v>
      </c>
      <c r="S31" s="8" t="s">
        <v>1081</v>
      </c>
      <c r="T31" s="8" t="s">
        <v>807</v>
      </c>
      <c r="U31" s="8" t="s">
        <v>806</v>
      </c>
      <c r="V31" s="8" t="s">
        <v>807</v>
      </c>
      <c r="W31" s="8" t="s">
        <v>1010</v>
      </c>
      <c r="X31" s="8" t="s">
        <v>852</v>
      </c>
      <c r="Y31" s="8" t="s">
        <v>869</v>
      </c>
      <c r="Z31" s="8" t="s">
        <v>870</v>
      </c>
      <c r="AA31" s="8" t="s">
        <v>1082</v>
      </c>
      <c r="AB31" s="8" t="s">
        <v>919</v>
      </c>
      <c r="AC31" s="8" t="s">
        <v>814</v>
      </c>
      <c r="AD31" s="8">
        <v>2025</v>
      </c>
      <c r="AE31" s="8">
        <v>2024</v>
      </c>
      <c r="AF31" s="8" t="s">
        <v>920</v>
      </c>
      <c r="AG31" s="8" t="s">
        <v>872</v>
      </c>
    </row>
    <row r="32" spans="1:33" ht="66" customHeight="1">
      <c r="A32" s="8" t="s">
        <v>1083</v>
      </c>
      <c r="B32" s="8" t="s">
        <v>480</v>
      </c>
      <c r="C32" s="8" t="s">
        <v>1084</v>
      </c>
      <c r="D32" s="8" t="s">
        <v>482</v>
      </c>
      <c r="E32" s="8" t="s">
        <v>483</v>
      </c>
      <c r="F32" s="8" t="s">
        <v>26</v>
      </c>
      <c r="G32" s="8" t="s">
        <v>1085</v>
      </c>
      <c r="H32" s="8">
        <v>2020</v>
      </c>
      <c r="I32" s="8">
        <v>93</v>
      </c>
      <c r="J32" s="8" t="s">
        <v>797</v>
      </c>
      <c r="K32" s="8" t="s">
        <v>1086</v>
      </c>
      <c r="L32" s="8">
        <v>2024</v>
      </c>
      <c r="M32" s="8"/>
      <c r="N32" s="8"/>
      <c r="O32" s="8"/>
      <c r="P32" s="8"/>
      <c r="Q32" s="8"/>
      <c r="R32" s="8" t="s">
        <v>1087</v>
      </c>
      <c r="S32" s="8" t="s">
        <v>1088</v>
      </c>
      <c r="T32" s="8" t="s">
        <v>807</v>
      </c>
      <c r="U32" s="8" t="s">
        <v>806</v>
      </c>
      <c r="V32" s="8" t="s">
        <v>807</v>
      </c>
      <c r="W32" s="8" t="s">
        <v>1025</v>
      </c>
      <c r="X32" s="8" t="s">
        <v>928</v>
      </c>
      <c r="Y32" s="8" t="s">
        <v>1089</v>
      </c>
      <c r="Z32" s="8" t="s">
        <v>1090</v>
      </c>
      <c r="AA32" s="8" t="s">
        <v>1091</v>
      </c>
      <c r="AB32" s="8" t="s">
        <v>1092</v>
      </c>
      <c r="AC32" s="8" t="s">
        <v>1093</v>
      </c>
      <c r="AD32" s="8">
        <v>2024</v>
      </c>
      <c r="AE32" s="8">
        <v>2020</v>
      </c>
      <c r="AF32" s="8" t="s">
        <v>1094</v>
      </c>
      <c r="AG32" s="8" t="s">
        <v>1095</v>
      </c>
    </row>
    <row r="33" spans="1:33" ht="52.8" customHeight="1">
      <c r="A33" s="8" t="s">
        <v>1096</v>
      </c>
      <c r="B33" s="8" t="s">
        <v>499</v>
      </c>
      <c r="C33" s="8" t="s">
        <v>1097</v>
      </c>
      <c r="D33" s="8" t="s">
        <v>501</v>
      </c>
      <c r="E33" s="8" t="s">
        <v>502</v>
      </c>
      <c r="F33" s="8" t="s">
        <v>26</v>
      </c>
      <c r="G33" s="8" t="s">
        <v>417</v>
      </c>
      <c r="H33" s="8">
        <v>2023</v>
      </c>
      <c r="I33" s="8">
        <v>10</v>
      </c>
      <c r="J33" s="8" t="s">
        <v>1037</v>
      </c>
      <c r="K33" s="8" t="s">
        <v>1038</v>
      </c>
      <c r="L33" s="8">
        <v>2025</v>
      </c>
      <c r="M33" s="8" t="s">
        <v>799</v>
      </c>
      <c r="N33" s="8" t="s">
        <v>1039</v>
      </c>
      <c r="O33" s="8" t="s">
        <v>1098</v>
      </c>
      <c r="P33" s="8" t="s">
        <v>941</v>
      </c>
      <c r="Q33" s="8" t="s">
        <v>1099</v>
      </c>
      <c r="R33" s="8" t="s">
        <v>1100</v>
      </c>
      <c r="S33" s="8" t="s">
        <v>804</v>
      </c>
      <c r="T33" s="8" t="s">
        <v>839</v>
      </c>
      <c r="U33" s="8" t="s">
        <v>806</v>
      </c>
      <c r="V33" s="8" t="s">
        <v>807</v>
      </c>
      <c r="W33" s="8" t="s">
        <v>1043</v>
      </c>
      <c r="X33" s="8" t="s">
        <v>852</v>
      </c>
      <c r="Y33" s="8" t="s">
        <v>869</v>
      </c>
      <c r="Z33" s="8" t="s">
        <v>870</v>
      </c>
      <c r="AA33" s="8" t="s">
        <v>1101</v>
      </c>
      <c r="AB33" s="8" t="s">
        <v>941</v>
      </c>
      <c r="AC33" s="8" t="s">
        <v>1102</v>
      </c>
      <c r="AD33" s="8">
        <v>2025</v>
      </c>
      <c r="AE33" s="8">
        <v>2023</v>
      </c>
      <c r="AF33" s="8" t="s">
        <v>1103</v>
      </c>
      <c r="AG33" s="8" t="s">
        <v>872</v>
      </c>
    </row>
    <row r="34" spans="1:33" ht="39.6" customHeight="1">
      <c r="A34" s="8" t="s">
        <v>1104</v>
      </c>
      <c r="B34" s="8" t="s">
        <v>504</v>
      </c>
      <c r="C34" s="8" t="s">
        <v>505</v>
      </c>
      <c r="D34" s="8" t="s">
        <v>506</v>
      </c>
      <c r="E34" s="8" t="s">
        <v>505</v>
      </c>
      <c r="F34" s="8" t="s">
        <v>26</v>
      </c>
      <c r="G34" s="8" t="s">
        <v>320</v>
      </c>
      <c r="H34" s="8">
        <v>2024</v>
      </c>
      <c r="I34" s="8">
        <v>5.7</v>
      </c>
      <c r="J34" s="8" t="s">
        <v>1003</v>
      </c>
      <c r="K34" s="8" t="s">
        <v>1004</v>
      </c>
      <c r="L34" s="8">
        <v>2025</v>
      </c>
      <c r="M34" s="8" t="s">
        <v>799</v>
      </c>
      <c r="N34" s="8" t="s">
        <v>1005</v>
      </c>
      <c r="O34" s="8" t="s">
        <v>1105</v>
      </c>
      <c r="P34" s="8" t="s">
        <v>1049</v>
      </c>
      <c r="Q34" s="8" t="s">
        <v>1050</v>
      </c>
      <c r="R34" s="8" t="s">
        <v>1106</v>
      </c>
      <c r="S34" s="8" t="s">
        <v>839</v>
      </c>
      <c r="T34" s="8" t="s">
        <v>1052</v>
      </c>
      <c r="U34" s="8" t="s">
        <v>806</v>
      </c>
      <c r="V34" s="8" t="s">
        <v>807</v>
      </c>
      <c r="W34" s="8" t="s">
        <v>808</v>
      </c>
      <c r="X34" s="8" t="s">
        <v>809</v>
      </c>
      <c r="Y34" s="8" t="s">
        <v>810</v>
      </c>
      <c r="Z34" s="8" t="s">
        <v>811</v>
      </c>
      <c r="AA34" s="8" t="s">
        <v>1107</v>
      </c>
      <c r="AB34" s="8" t="s">
        <v>813</v>
      </c>
      <c r="AC34" s="8" t="s">
        <v>839</v>
      </c>
      <c r="AD34" s="8">
        <v>2025</v>
      </c>
      <c r="AE34" s="8">
        <v>2024</v>
      </c>
      <c r="AF34" s="8" t="s">
        <v>815</v>
      </c>
      <c r="AG34" s="8" t="s">
        <v>816</v>
      </c>
    </row>
    <row r="35" spans="1:33" ht="52.8" customHeight="1">
      <c r="A35" s="8" t="s">
        <v>1108</v>
      </c>
      <c r="B35" s="8" t="s">
        <v>531</v>
      </c>
      <c r="C35" s="8" t="s">
        <v>1109</v>
      </c>
      <c r="D35" s="8" t="s">
        <v>533</v>
      </c>
      <c r="E35" s="8" t="s">
        <v>534</v>
      </c>
      <c r="F35" s="8" t="s">
        <v>26</v>
      </c>
      <c r="G35" s="8" t="s">
        <v>320</v>
      </c>
      <c r="H35" s="8">
        <v>2023</v>
      </c>
      <c r="I35" s="8">
        <v>0.2</v>
      </c>
      <c r="J35" s="8" t="s">
        <v>1003</v>
      </c>
      <c r="K35" s="8" t="s">
        <v>1110</v>
      </c>
      <c r="L35" s="8">
        <v>2024</v>
      </c>
      <c r="M35" s="8" t="s">
        <v>1057</v>
      </c>
      <c r="N35" s="8" t="s">
        <v>1005</v>
      </c>
      <c r="O35" s="8" t="s">
        <v>1111</v>
      </c>
      <c r="P35" s="8" t="s">
        <v>1007</v>
      </c>
      <c r="Q35" s="8" t="s">
        <v>1111</v>
      </c>
      <c r="R35" s="8" t="s">
        <v>1112</v>
      </c>
      <c r="S35" s="8" t="s">
        <v>804</v>
      </c>
      <c r="T35" s="8" t="s">
        <v>807</v>
      </c>
      <c r="U35" s="8" t="s">
        <v>806</v>
      </c>
      <c r="V35" s="8" t="s">
        <v>807</v>
      </c>
      <c r="W35" s="8" t="s">
        <v>1043</v>
      </c>
      <c r="X35" s="8" t="s">
        <v>928</v>
      </c>
      <c r="Y35" s="8" t="s">
        <v>853</v>
      </c>
      <c r="Z35" s="8" t="s">
        <v>854</v>
      </c>
      <c r="AA35" s="8" t="s">
        <v>1113</v>
      </c>
      <c r="AB35" s="8" t="s">
        <v>856</v>
      </c>
      <c r="AC35" s="8" t="s">
        <v>1018</v>
      </c>
      <c r="AD35" s="8">
        <v>2024</v>
      </c>
      <c r="AE35" s="8">
        <v>2023</v>
      </c>
      <c r="AF35" s="8" t="s">
        <v>1114</v>
      </c>
      <c r="AG35" s="8" t="s">
        <v>858</v>
      </c>
    </row>
    <row r="36" spans="1:33" ht="52.8" customHeight="1">
      <c r="A36" s="8" t="s">
        <v>1115</v>
      </c>
      <c r="B36" s="8" t="s">
        <v>551</v>
      </c>
      <c r="C36" s="8" t="s">
        <v>1116</v>
      </c>
      <c r="D36" s="8" t="s">
        <v>553</v>
      </c>
      <c r="E36" s="8" t="s">
        <v>557</v>
      </c>
      <c r="F36" s="8" t="s">
        <v>26</v>
      </c>
      <c r="G36" s="8" t="s">
        <v>556</v>
      </c>
      <c r="H36" s="8">
        <v>2024</v>
      </c>
      <c r="I36" s="8">
        <v>22.4</v>
      </c>
      <c r="J36" s="8" t="s">
        <v>797</v>
      </c>
      <c r="K36" s="8" t="s">
        <v>798</v>
      </c>
      <c r="L36" s="8">
        <v>2025</v>
      </c>
      <c r="M36" s="8" t="s">
        <v>799</v>
      </c>
      <c r="N36" s="8" t="s">
        <v>800</v>
      </c>
      <c r="O36" s="8" t="s">
        <v>1117</v>
      </c>
      <c r="P36" s="8" t="s">
        <v>1118</v>
      </c>
      <c r="Q36" s="8" t="s">
        <v>1119</v>
      </c>
      <c r="R36" s="8" t="s">
        <v>1120</v>
      </c>
      <c r="S36" s="8" t="s">
        <v>1121</v>
      </c>
      <c r="T36" s="8" t="s">
        <v>1122</v>
      </c>
      <c r="U36" s="8" t="s">
        <v>806</v>
      </c>
      <c r="V36" s="8" t="s">
        <v>807</v>
      </c>
      <c r="W36" s="8" t="s">
        <v>808</v>
      </c>
      <c r="X36" s="8" t="s">
        <v>928</v>
      </c>
      <c r="Y36" s="8" t="s">
        <v>853</v>
      </c>
      <c r="Z36" s="8" t="s">
        <v>854</v>
      </c>
      <c r="AA36" s="8" t="s">
        <v>1123</v>
      </c>
      <c r="AB36" s="8" t="s">
        <v>856</v>
      </c>
      <c r="AC36" s="8" t="s">
        <v>814</v>
      </c>
      <c r="AD36" s="8">
        <v>2025</v>
      </c>
      <c r="AE36" s="8">
        <v>2024</v>
      </c>
      <c r="AF36" s="8" t="s">
        <v>1124</v>
      </c>
      <c r="AG36" s="8" t="s">
        <v>858</v>
      </c>
    </row>
    <row r="37" spans="1:33" ht="52.8" customHeight="1">
      <c r="A37" s="8" t="s">
        <v>1125</v>
      </c>
      <c r="B37" s="8" t="s">
        <v>605</v>
      </c>
      <c r="C37" s="8" t="s">
        <v>1126</v>
      </c>
      <c r="D37" s="8" t="s">
        <v>607</v>
      </c>
      <c r="E37" s="8" t="s">
        <v>1127</v>
      </c>
      <c r="F37" s="8" t="s">
        <v>26</v>
      </c>
      <c r="G37" s="8" t="s">
        <v>104</v>
      </c>
      <c r="H37" s="8">
        <v>2020</v>
      </c>
      <c r="I37" s="8">
        <v>9</v>
      </c>
      <c r="J37" s="8" t="s">
        <v>861</v>
      </c>
      <c r="K37" s="8" t="s">
        <v>932</v>
      </c>
      <c r="L37" s="8">
        <v>2021</v>
      </c>
      <c r="M37" s="8" t="s">
        <v>799</v>
      </c>
      <c r="N37" s="8" t="s">
        <v>933</v>
      </c>
      <c r="O37" s="8" t="s">
        <v>986</v>
      </c>
      <c r="P37" s="8" t="s">
        <v>1128</v>
      </c>
      <c r="Q37" s="8" t="s">
        <v>1129</v>
      </c>
      <c r="R37" s="8" t="s">
        <v>1130</v>
      </c>
      <c r="S37" s="8" t="s">
        <v>1131</v>
      </c>
      <c r="T37" s="8" t="s">
        <v>807</v>
      </c>
      <c r="U37" s="8" t="s">
        <v>806</v>
      </c>
      <c r="V37" s="8" t="s">
        <v>807</v>
      </c>
      <c r="W37" s="8" t="s">
        <v>808</v>
      </c>
      <c r="X37" s="8" t="s">
        <v>852</v>
      </c>
      <c r="Y37" s="8" t="s">
        <v>869</v>
      </c>
      <c r="Z37" s="8" t="s">
        <v>870</v>
      </c>
      <c r="AA37" s="8" t="s">
        <v>1132</v>
      </c>
      <c r="AB37" s="8" t="s">
        <v>919</v>
      </c>
      <c r="AC37" s="8" t="s">
        <v>981</v>
      </c>
      <c r="AD37" s="8">
        <v>2021</v>
      </c>
      <c r="AE37" s="8">
        <v>2020</v>
      </c>
      <c r="AF37" s="8" t="s">
        <v>920</v>
      </c>
      <c r="AG37" s="8" t="s">
        <v>872</v>
      </c>
    </row>
    <row r="38" spans="1:33" ht="39.6" customHeight="1">
      <c r="A38" s="8" t="s">
        <v>1133</v>
      </c>
      <c r="B38" s="8" t="s">
        <v>666</v>
      </c>
      <c r="C38" s="8" t="s">
        <v>1109</v>
      </c>
      <c r="D38" s="8" t="s">
        <v>667</v>
      </c>
      <c r="E38" s="8" t="s">
        <v>534</v>
      </c>
      <c r="F38" s="8" t="s">
        <v>26</v>
      </c>
      <c r="G38" s="8" t="s">
        <v>320</v>
      </c>
      <c r="H38" s="8">
        <v>2023</v>
      </c>
      <c r="I38" s="8">
        <v>0.2</v>
      </c>
      <c r="J38" s="8" t="s">
        <v>1003</v>
      </c>
      <c r="K38" s="8" t="s">
        <v>1110</v>
      </c>
      <c r="L38" s="8">
        <v>2024</v>
      </c>
      <c r="M38" s="8" t="s">
        <v>1057</v>
      </c>
      <c r="N38" s="8" t="s">
        <v>1005</v>
      </c>
      <c r="O38" s="8" t="s">
        <v>1111</v>
      </c>
      <c r="P38" s="8" t="s">
        <v>1007</v>
      </c>
      <c r="Q38" s="8" t="s">
        <v>1111</v>
      </c>
      <c r="R38" s="8" t="s">
        <v>1112</v>
      </c>
      <c r="S38" s="8" t="s">
        <v>804</v>
      </c>
      <c r="T38" s="8" t="s">
        <v>807</v>
      </c>
      <c r="U38" s="8" t="s">
        <v>806</v>
      </c>
      <c r="V38" s="8" t="s">
        <v>807</v>
      </c>
      <c r="W38" s="8" t="s">
        <v>1043</v>
      </c>
      <c r="X38" s="8" t="s">
        <v>928</v>
      </c>
      <c r="Y38" s="8" t="s">
        <v>853</v>
      </c>
      <c r="Z38" s="8" t="s">
        <v>854</v>
      </c>
      <c r="AA38" s="8" t="s">
        <v>1134</v>
      </c>
      <c r="AB38" s="8" t="s">
        <v>856</v>
      </c>
      <c r="AC38" s="8" t="s">
        <v>1018</v>
      </c>
      <c r="AD38" s="8">
        <v>2024</v>
      </c>
      <c r="AE38" s="8">
        <v>2023</v>
      </c>
      <c r="AF38" s="8" t="s">
        <v>1114</v>
      </c>
      <c r="AG38" s="8" t="s">
        <v>858</v>
      </c>
    </row>
    <row r="39" spans="1:33" ht="39.6" customHeight="1">
      <c r="A39" s="8" t="s">
        <v>1135</v>
      </c>
      <c r="B39" s="8" t="s">
        <v>696</v>
      </c>
      <c r="C39" s="8" t="s">
        <v>1136</v>
      </c>
      <c r="D39" s="8" t="s">
        <v>698</v>
      </c>
      <c r="E39" s="8" t="s">
        <v>1136</v>
      </c>
      <c r="F39" s="8" t="s">
        <v>26</v>
      </c>
      <c r="G39" s="8" t="s">
        <v>699</v>
      </c>
      <c r="H39" s="8">
        <v>2022</v>
      </c>
      <c r="I39" s="8">
        <v>16.2</v>
      </c>
      <c r="J39" s="8" t="s">
        <v>861</v>
      </c>
      <c r="K39" s="8" t="s">
        <v>1137</v>
      </c>
      <c r="L39" s="8">
        <v>2023</v>
      </c>
      <c r="M39" s="8" t="s">
        <v>799</v>
      </c>
      <c r="N39" s="8" t="s">
        <v>1138</v>
      </c>
      <c r="O39" s="8" t="s">
        <v>1139</v>
      </c>
      <c r="P39" s="8" t="s">
        <v>1140</v>
      </c>
      <c r="Q39" s="8" t="s">
        <v>1141</v>
      </c>
      <c r="R39" s="8" t="s">
        <v>1142</v>
      </c>
      <c r="S39" s="8" t="s">
        <v>1143</v>
      </c>
      <c r="T39" s="8" t="s">
        <v>1144</v>
      </c>
      <c r="U39" s="8" t="s">
        <v>806</v>
      </c>
      <c r="V39" s="8" t="s">
        <v>807</v>
      </c>
      <c r="W39" s="8" t="s">
        <v>808</v>
      </c>
      <c r="X39" s="8" t="s">
        <v>852</v>
      </c>
      <c r="Y39" s="8" t="s">
        <v>869</v>
      </c>
      <c r="Z39" s="8" t="s">
        <v>1145</v>
      </c>
      <c r="AA39" s="8" t="s">
        <v>1146</v>
      </c>
      <c r="AB39" s="8" t="s">
        <v>919</v>
      </c>
      <c r="AC39" s="8" t="s">
        <v>1147</v>
      </c>
      <c r="AD39" s="8">
        <v>2023</v>
      </c>
      <c r="AE39" s="8">
        <v>2022</v>
      </c>
      <c r="AF39" s="8" t="s">
        <v>920</v>
      </c>
      <c r="AG39" s="8" t="s">
        <v>872</v>
      </c>
    </row>
    <row r="40" spans="1:33" ht="52.8" customHeight="1">
      <c r="A40" s="8" t="s">
        <v>1148</v>
      </c>
      <c r="B40" s="8" t="s">
        <v>705</v>
      </c>
      <c r="C40" s="8" t="s">
        <v>706</v>
      </c>
      <c r="D40" s="8" t="s">
        <v>707</v>
      </c>
      <c r="E40" s="8" t="s">
        <v>415</v>
      </c>
      <c r="F40" s="8" t="s">
        <v>26</v>
      </c>
      <c r="G40" s="8" t="s">
        <v>417</v>
      </c>
      <c r="H40" s="8">
        <v>2024</v>
      </c>
      <c r="I40" s="8">
        <v>6.5</v>
      </c>
      <c r="J40" s="8" t="s">
        <v>1037</v>
      </c>
      <c r="K40" s="8" t="s">
        <v>1038</v>
      </c>
      <c r="L40" s="8">
        <v>2025</v>
      </c>
      <c r="M40" s="8" t="s">
        <v>799</v>
      </c>
      <c r="N40" s="8" t="s">
        <v>1039</v>
      </c>
      <c r="O40" s="8" t="s">
        <v>1040</v>
      </c>
      <c r="P40" s="8" t="s">
        <v>1041</v>
      </c>
      <c r="Q40" s="8" t="s">
        <v>415</v>
      </c>
      <c r="R40" s="8" t="s">
        <v>1042</v>
      </c>
      <c r="S40" s="8" t="s">
        <v>804</v>
      </c>
      <c r="T40" s="8" t="s">
        <v>839</v>
      </c>
      <c r="U40" s="8" t="s">
        <v>806</v>
      </c>
      <c r="V40" s="8" t="s">
        <v>807</v>
      </c>
      <c r="W40" s="8" t="s">
        <v>1043</v>
      </c>
      <c r="X40" s="8" t="s">
        <v>852</v>
      </c>
      <c r="Y40" s="8" t="s">
        <v>869</v>
      </c>
      <c r="Z40" s="8" t="s">
        <v>870</v>
      </c>
      <c r="AA40" s="8" t="s">
        <v>1149</v>
      </c>
      <c r="AB40" s="8" t="s">
        <v>941</v>
      </c>
      <c r="AC40" s="8" t="s">
        <v>839</v>
      </c>
      <c r="AD40" s="8">
        <v>2025</v>
      </c>
      <c r="AE40" s="8">
        <v>2024</v>
      </c>
      <c r="AF40" s="8" t="s">
        <v>1150</v>
      </c>
      <c r="AG40" s="8" t="s">
        <v>872</v>
      </c>
    </row>
    <row r="41" spans="1:33" ht="92.4" customHeight="1">
      <c r="A41" s="8" t="s">
        <v>1151</v>
      </c>
      <c r="B41" s="8" t="s">
        <v>709</v>
      </c>
      <c r="C41" s="8" t="s">
        <v>710</v>
      </c>
      <c r="D41" s="8" t="s">
        <v>711</v>
      </c>
      <c r="E41" s="8" t="s">
        <v>1152</v>
      </c>
      <c r="F41" s="8" t="s">
        <v>26</v>
      </c>
      <c r="G41" s="8" t="s">
        <v>1153</v>
      </c>
      <c r="H41" s="8">
        <v>2023</v>
      </c>
      <c r="I41" s="8">
        <v>36</v>
      </c>
      <c r="J41" s="8" t="s">
        <v>844</v>
      </c>
      <c r="K41" s="8" t="s">
        <v>1154</v>
      </c>
      <c r="L41" s="8">
        <v>2024</v>
      </c>
      <c r="M41" s="8" t="s">
        <v>1057</v>
      </c>
      <c r="N41" s="8" t="s">
        <v>1155</v>
      </c>
      <c r="O41" s="8" t="s">
        <v>1156</v>
      </c>
      <c r="P41" s="8" t="s">
        <v>1157</v>
      </c>
      <c r="Q41" s="8" t="s">
        <v>1158</v>
      </c>
      <c r="R41" s="8" t="s">
        <v>1159</v>
      </c>
      <c r="S41" s="8" t="s">
        <v>804</v>
      </c>
      <c r="T41" s="8" t="s">
        <v>1160</v>
      </c>
      <c r="U41" s="8" t="s">
        <v>806</v>
      </c>
      <c r="V41" s="8" t="s">
        <v>807</v>
      </c>
      <c r="W41" s="8" t="s">
        <v>1043</v>
      </c>
      <c r="X41" s="8" t="s">
        <v>852</v>
      </c>
      <c r="Y41" s="8" t="s">
        <v>869</v>
      </c>
      <c r="Z41" s="8" t="s">
        <v>870</v>
      </c>
      <c r="AA41" s="8" t="s">
        <v>1161</v>
      </c>
      <c r="AB41" s="8" t="s">
        <v>941</v>
      </c>
      <c r="AC41" s="8" t="s">
        <v>1162</v>
      </c>
      <c r="AD41" s="8">
        <v>2024</v>
      </c>
      <c r="AE41" s="8">
        <v>2023</v>
      </c>
      <c r="AF41" s="8" t="s">
        <v>1163</v>
      </c>
      <c r="AG41" s="8" t="s">
        <v>872</v>
      </c>
    </row>
  </sheetData>
  <conditionalFormatting sqref="Y2:Y41">
    <cfRule type="expression" dxfId="4" priority="1">
      <formula>Y2="Ready"</formula>
    </cfRule>
    <cfRule type="expression" dxfId="3" priority="2">
      <formula>Y2="To Map"</formula>
    </cfRule>
    <cfRule type="expression" dxfId="2" priority="3">
      <formula>Y2="Needs Review"</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0000000}">
          <x14:formula1>
            <xm:f>Validation_Lists!$A$2:$A$9</xm:f>
          </x14:formula1>
          <xm:sqref>Y2:Y41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4.4"/>
  <cols>
    <col min="1" max="2" width="18" customWidth="1"/>
    <col min="3" max="3" width="28" customWidth="1"/>
    <col min="4" max="4" width="18" customWidth="1"/>
    <col min="5" max="5" width="28" customWidth="1"/>
    <col min="6" max="6" width="18" customWidth="1"/>
    <col min="7" max="7" width="28" customWidth="1"/>
    <col min="8" max="9" width="18" customWidth="1"/>
    <col min="10" max="11" width="28" customWidth="1"/>
  </cols>
  <sheetData>
    <row r="1" spans="1:11" ht="14.4" customHeight="1">
      <c r="A1" s="7" t="s">
        <v>1164</v>
      </c>
      <c r="B1" s="7" t="s">
        <v>772</v>
      </c>
      <c r="C1" s="7" t="s">
        <v>773</v>
      </c>
      <c r="D1" s="7" t="s">
        <v>774</v>
      </c>
      <c r="E1" s="7" t="s">
        <v>775</v>
      </c>
      <c r="F1" s="7" t="s">
        <v>776</v>
      </c>
      <c r="G1" s="7" t="s">
        <v>1165</v>
      </c>
      <c r="H1" s="7" t="s">
        <v>1166</v>
      </c>
      <c r="I1" s="7" t="s">
        <v>787</v>
      </c>
      <c r="J1" s="7" t="s">
        <v>1167</v>
      </c>
      <c r="K1" s="7" t="s">
        <v>789</v>
      </c>
    </row>
    <row r="2" spans="1:11" ht="66" customHeight="1">
      <c r="A2" s="8" t="s">
        <v>1168</v>
      </c>
      <c r="B2" s="8" t="s">
        <v>861</v>
      </c>
      <c r="C2" s="8" t="s">
        <v>862</v>
      </c>
      <c r="D2" s="8">
        <v>2026</v>
      </c>
      <c r="E2" s="8" t="s">
        <v>799</v>
      </c>
      <c r="F2" s="8" t="s">
        <v>863</v>
      </c>
      <c r="G2" s="8" t="s">
        <v>1169</v>
      </c>
      <c r="H2" s="8" t="s">
        <v>1170</v>
      </c>
      <c r="I2" s="8" t="s">
        <v>1171</v>
      </c>
      <c r="J2" s="8" t="s">
        <v>1172</v>
      </c>
      <c r="K2" s="8" t="s">
        <v>1173</v>
      </c>
    </row>
    <row r="3" spans="1:11" ht="66" customHeight="1">
      <c r="A3" s="8" t="s">
        <v>1174</v>
      </c>
      <c r="B3" s="8" t="s">
        <v>797</v>
      </c>
      <c r="C3" s="8" t="s">
        <v>798</v>
      </c>
      <c r="D3" s="8">
        <v>2025</v>
      </c>
      <c r="E3" s="8" t="s">
        <v>799</v>
      </c>
      <c r="F3" s="8" t="s">
        <v>800</v>
      </c>
      <c r="G3" s="8" t="s">
        <v>1175</v>
      </c>
      <c r="H3" s="8" t="s">
        <v>1176</v>
      </c>
      <c r="I3" s="8" t="s">
        <v>810</v>
      </c>
      <c r="J3" s="8" t="s">
        <v>1177</v>
      </c>
      <c r="K3" s="8" t="s">
        <v>1178</v>
      </c>
    </row>
    <row r="4" spans="1:11" ht="66" customHeight="1">
      <c r="A4" s="8" t="s">
        <v>1179</v>
      </c>
      <c r="B4" s="8" t="s">
        <v>832</v>
      </c>
      <c r="C4" s="8" t="s">
        <v>833</v>
      </c>
      <c r="D4" s="8">
        <v>2025</v>
      </c>
      <c r="E4" s="8" t="s">
        <v>799</v>
      </c>
      <c r="F4" s="8" t="s">
        <v>834</v>
      </c>
      <c r="G4" s="8" t="s">
        <v>1180</v>
      </c>
      <c r="H4" s="8" t="s">
        <v>1181</v>
      </c>
      <c r="I4" s="8" t="s">
        <v>810</v>
      </c>
      <c r="J4" s="8" t="s">
        <v>1182</v>
      </c>
      <c r="K4" s="8" t="s">
        <v>1183</v>
      </c>
    </row>
    <row r="5" spans="1:11" ht="66" customHeight="1">
      <c r="A5" s="8" t="s">
        <v>1184</v>
      </c>
      <c r="B5" s="8" t="s">
        <v>1003</v>
      </c>
      <c r="C5" s="8" t="s">
        <v>1004</v>
      </c>
      <c r="D5" s="8">
        <v>2025</v>
      </c>
      <c r="E5" s="8" t="s">
        <v>799</v>
      </c>
      <c r="F5" s="8" t="s">
        <v>1005</v>
      </c>
      <c r="G5" s="8" t="s">
        <v>1185</v>
      </c>
      <c r="H5" s="8" t="s">
        <v>1181</v>
      </c>
      <c r="I5" s="8" t="s">
        <v>1171</v>
      </c>
      <c r="J5" s="8" t="s">
        <v>1186</v>
      </c>
      <c r="K5" s="8" t="s">
        <v>1187</v>
      </c>
    </row>
    <row r="6" spans="1:11" ht="66" customHeight="1">
      <c r="A6" s="8" t="s">
        <v>1188</v>
      </c>
      <c r="B6" s="8" t="s">
        <v>1037</v>
      </c>
      <c r="C6" s="8" t="s">
        <v>1038</v>
      </c>
      <c r="D6" s="8">
        <v>2025</v>
      </c>
      <c r="E6" s="8" t="s">
        <v>799</v>
      </c>
      <c r="F6" s="8" t="s">
        <v>1039</v>
      </c>
      <c r="G6" s="8" t="s">
        <v>1189</v>
      </c>
      <c r="H6" s="8" t="s">
        <v>1181</v>
      </c>
      <c r="I6" s="8" t="s">
        <v>1171</v>
      </c>
      <c r="J6" s="8" t="s">
        <v>1190</v>
      </c>
      <c r="K6" s="8" t="s">
        <v>1191</v>
      </c>
    </row>
    <row r="7" spans="1:11" ht="39.6" customHeight="1">
      <c r="A7" s="8" t="s">
        <v>1192</v>
      </c>
      <c r="B7" s="8" t="s">
        <v>844</v>
      </c>
      <c r="C7" s="8" t="s">
        <v>1193</v>
      </c>
      <c r="D7" s="8">
        <v>2025</v>
      </c>
      <c r="E7" s="8" t="s">
        <v>1194</v>
      </c>
      <c r="F7" s="8" t="s">
        <v>1195</v>
      </c>
      <c r="G7" s="8"/>
      <c r="H7" s="8" t="s">
        <v>1196</v>
      </c>
      <c r="I7" s="8" t="s">
        <v>1171</v>
      </c>
      <c r="J7" s="8" t="s">
        <v>1197</v>
      </c>
      <c r="K7" s="8" t="s">
        <v>1198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
  <sheetViews>
    <sheetView workbookViewId="0"/>
  </sheetViews>
  <sheetFormatPr defaultRowHeight="14.4"/>
  <cols>
    <col min="1" max="2" width="18" customWidth="1"/>
    <col min="3" max="3" width="28" customWidth="1"/>
    <col min="4" max="4" width="18" customWidth="1"/>
    <col min="5" max="5" width="28" customWidth="1"/>
    <col min="6" max="6" width="18" customWidth="1"/>
    <col min="7" max="7" width="28" customWidth="1"/>
    <col min="8" max="9" width="18" customWidth="1"/>
    <col min="10" max="11" width="28" customWidth="1"/>
    <col min="12" max="13" width="18" customWidth="1"/>
    <col min="14" max="14" width="28" customWidth="1"/>
  </cols>
  <sheetData>
    <row r="1" spans="1:14">
      <c r="A1" s="7" t="s">
        <v>1199</v>
      </c>
      <c r="B1" s="7" t="s">
        <v>767</v>
      </c>
      <c r="C1" s="7" t="s">
        <v>0</v>
      </c>
      <c r="D1" s="7" t="s">
        <v>2</v>
      </c>
      <c r="E1" s="7" t="s">
        <v>1200</v>
      </c>
      <c r="F1" s="7" t="s">
        <v>1201</v>
      </c>
      <c r="G1" s="7" t="s">
        <v>1202</v>
      </c>
      <c r="H1" s="7" t="s">
        <v>1203</v>
      </c>
      <c r="I1" s="7" t="s">
        <v>1204</v>
      </c>
      <c r="J1" s="7" t="s">
        <v>1205</v>
      </c>
      <c r="K1" s="7" t="s">
        <v>1206</v>
      </c>
      <c r="L1" s="7" t="s">
        <v>1207</v>
      </c>
      <c r="M1" s="7" t="s">
        <v>787</v>
      </c>
      <c r="N1" s="7" t="s">
        <v>1208</v>
      </c>
    </row>
    <row r="2" spans="1:14">
      <c r="A2" s="8" t="s">
        <v>1209</v>
      </c>
      <c r="B2" s="8"/>
      <c r="C2" s="8"/>
      <c r="D2" s="8"/>
      <c r="E2" s="8"/>
      <c r="F2" s="8"/>
      <c r="G2" s="8"/>
      <c r="H2" s="8" t="str">
        <f>IF(OR(F2="",G2=""),"",G2-F2)</f>
        <v/>
      </c>
      <c r="I2" s="8"/>
      <c r="J2" s="8"/>
      <c r="K2" s="8"/>
      <c r="L2" s="8"/>
      <c r="M2" s="8" t="s">
        <v>1210</v>
      </c>
      <c r="N2" s="8"/>
    </row>
  </sheetData>
  <conditionalFormatting sqref="M2:M200">
    <cfRule type="expression" dxfId="1" priority="1">
      <formula>M2="Approved"</formula>
    </cfRule>
    <cfRule type="expression" dxfId="0" priority="2">
      <formula>M2="Pending Review"</formula>
    </cfRule>
  </conditionalFormatting>
  <dataValidations count="1">
    <dataValidation type="list" sqref="M2:M200" xr:uid="{00000000-0002-0000-0400-000000000000}">
      <formula1>"Pending Review,Approved,Rejected,Needs Correction"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heetViews>
  <sheetFormatPr defaultRowHeight="14.4"/>
  <cols>
    <col min="1" max="1" width="11" customWidth="1"/>
    <col min="2" max="2" width="11.21875" customWidth="1"/>
    <col min="3" max="3" width="15.6640625" customWidth="1"/>
    <col min="4" max="4" width="12.6640625" customWidth="1"/>
  </cols>
  <sheetData>
    <row r="1" spans="1:4">
      <c r="A1" s="6" t="s">
        <v>1211</v>
      </c>
      <c r="B1" s="6" t="s">
        <v>1212</v>
      </c>
      <c r="C1" s="6" t="s">
        <v>1213</v>
      </c>
      <c r="D1" s="6" t="s">
        <v>1214</v>
      </c>
    </row>
    <row r="2" spans="1:4">
      <c r="A2" t="s">
        <v>1089</v>
      </c>
      <c r="B2" t="s">
        <v>799</v>
      </c>
      <c r="C2" t="s">
        <v>1043</v>
      </c>
      <c r="D2" t="s">
        <v>809</v>
      </c>
    </row>
    <row r="3" spans="1:4">
      <c r="A3" t="s">
        <v>810</v>
      </c>
      <c r="B3" t="s">
        <v>1057</v>
      </c>
      <c r="C3" t="s">
        <v>808</v>
      </c>
      <c r="D3" t="s">
        <v>852</v>
      </c>
    </row>
    <row r="4" spans="1:4">
      <c r="A4" t="s">
        <v>869</v>
      </c>
      <c r="B4" t="s">
        <v>1194</v>
      </c>
      <c r="C4" t="s">
        <v>1025</v>
      </c>
      <c r="D4" t="s">
        <v>928</v>
      </c>
    </row>
    <row r="5" spans="1:4">
      <c r="A5" t="s">
        <v>853</v>
      </c>
      <c r="C5" t="s">
        <v>1010</v>
      </c>
    </row>
    <row r="6" spans="1:4">
      <c r="A6" t="s">
        <v>1215</v>
      </c>
    </row>
    <row r="7" spans="1:4">
      <c r="A7" t="s">
        <v>1216</v>
      </c>
    </row>
    <row r="8" spans="1:4">
      <c r="A8" t="s">
        <v>1217</v>
      </c>
    </row>
    <row r="9" spans="1:4">
      <c r="A9" t="s">
        <v>1171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heetViews>
  <sheetFormatPr defaultRowHeight="14.4"/>
  <cols>
    <col min="1" max="1" width="34" customWidth="1"/>
    <col min="2" max="2" width="26" customWidth="1"/>
  </cols>
  <sheetData>
    <row r="1" spans="1:2">
      <c r="A1" s="7" t="s">
        <v>1218</v>
      </c>
      <c r="B1" s="7" t="s">
        <v>1219</v>
      </c>
    </row>
    <row r="2" spans="1:2" ht="57.6" customHeight="1">
      <c r="A2" s="8" t="s">
        <v>1220</v>
      </c>
      <c r="B2" s="8" t="s">
        <v>1221</v>
      </c>
    </row>
    <row r="3" spans="1:2">
      <c r="A3" s="8" t="s">
        <v>1222</v>
      </c>
      <c r="B3" s="8">
        <v>40</v>
      </c>
    </row>
    <row r="4" spans="1:2">
      <c r="A4" s="8" t="s">
        <v>1223</v>
      </c>
      <c r="B4" s="8">
        <v>6</v>
      </c>
    </row>
    <row r="5" spans="1:2" ht="86.4" customHeight="1">
      <c r="A5" s="8" t="s">
        <v>1224</v>
      </c>
      <c r="B5" s="8" t="s">
        <v>1225</v>
      </c>
    </row>
    <row r="6" spans="1:2" ht="57.6" customHeight="1">
      <c r="A6" s="8" t="s">
        <v>1226</v>
      </c>
      <c r="B6" s="8" t="s">
        <v>1227</v>
      </c>
    </row>
    <row r="7" spans="1:2" ht="72" customHeight="1">
      <c r="A7" s="8" t="s">
        <v>1228</v>
      </c>
      <c r="B7" s="8" t="s">
        <v>1229</v>
      </c>
    </row>
    <row r="10" spans="1:2">
      <c r="A10" s="13" t="s">
        <v>1230</v>
      </c>
      <c r="B10" s="13" t="s">
        <v>1231</v>
      </c>
    </row>
    <row r="11" spans="1:2">
      <c r="A11" s="8" t="s">
        <v>1232</v>
      </c>
      <c r="B11" s="8">
        <f>COUNTIF(NISR_Source_Mapping!Y2:Y41,"Ready")</f>
        <v>9</v>
      </c>
    </row>
    <row r="12" spans="1:2">
      <c r="A12" s="8" t="s">
        <v>1233</v>
      </c>
      <c r="B12" s="8">
        <f>COUNTIF(NISR_Source_Mapping!Y2:Y41,"Needs Review")</f>
        <v>25</v>
      </c>
    </row>
    <row r="13" spans="1:2">
      <c r="A13" s="8" t="s">
        <v>1234</v>
      </c>
      <c r="B13" s="8">
        <f>COUNTIF(NISR_Source_Mapping!Y2:Y41,"Proxy—Approval Required")</f>
        <v>5</v>
      </c>
    </row>
    <row r="14" spans="1:2">
      <c r="A14" s="8" t="s">
        <v>1235</v>
      </c>
      <c r="B14" s="8">
        <f>COUNTIF(NISR_Source_Mapping!Y2:Y41,"To Map")</f>
        <v>1</v>
      </c>
    </row>
    <row r="15" spans="1:2">
      <c r="A15" s="8" t="s">
        <v>1236</v>
      </c>
      <c r="B15" s="8">
        <f>COUNTIF(Proposed_Updates!M2:M1000,"Approved")</f>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
  <sheetViews>
    <sheetView showGridLines="0" workbookViewId="0"/>
  </sheetViews>
  <sheetFormatPr defaultRowHeight="14.4"/>
  <cols>
    <col min="1" max="1" width="18" customWidth="1"/>
    <col min="2" max="3" width="42" customWidth="1"/>
    <col min="4" max="4" width="44" customWidth="1"/>
  </cols>
  <sheetData>
    <row r="1" spans="1:4">
      <c r="A1" s="14" t="s">
        <v>767</v>
      </c>
      <c r="B1" s="14" t="s">
        <v>1237</v>
      </c>
      <c r="C1" s="14" t="s">
        <v>1238</v>
      </c>
      <c r="D1" s="14" t="s">
        <v>1239</v>
      </c>
    </row>
    <row r="2" spans="1:4" ht="43.2">
      <c r="A2" s="8" t="s">
        <v>817</v>
      </c>
      <c r="B2" s="8" t="s">
        <v>1240</v>
      </c>
      <c r="C2" s="8" t="s">
        <v>1241</v>
      </c>
      <c r="D2" s="8" t="s">
        <v>1242</v>
      </c>
    </row>
    <row r="3" spans="1:4">
      <c r="A3" s="8" t="s">
        <v>841</v>
      </c>
      <c r="B3" s="8" t="s">
        <v>1243</v>
      </c>
      <c r="C3" s="8" t="s">
        <v>1244</v>
      </c>
      <c r="D3" s="8" t="s">
        <v>1245</v>
      </c>
    </row>
    <row r="4" spans="1:4">
      <c r="A4" s="8" t="s">
        <v>899</v>
      </c>
      <c r="B4" s="8" t="s">
        <v>1246</v>
      </c>
      <c r="C4" s="8" t="s">
        <v>1247</v>
      </c>
      <c r="D4" s="8" t="s">
        <v>1248</v>
      </c>
    </row>
    <row r="5" spans="1:4" ht="28.8">
      <c r="A5" s="8" t="s">
        <v>921</v>
      </c>
      <c r="B5" s="8" t="s">
        <v>1249</v>
      </c>
      <c r="C5" s="8" t="s">
        <v>1244</v>
      </c>
      <c r="D5" s="8" t="s">
        <v>1250</v>
      </c>
    </row>
    <row r="6" spans="1:4" ht="28.8">
      <c r="A6" s="8" t="s">
        <v>930</v>
      </c>
      <c r="B6" s="8" t="s">
        <v>1251</v>
      </c>
      <c r="C6" s="8" t="s">
        <v>1252</v>
      </c>
      <c r="D6" s="8" t="s">
        <v>1253</v>
      </c>
    </row>
    <row r="7" spans="1:4" ht="28.8">
      <c r="A7" s="8" t="s">
        <v>970</v>
      </c>
      <c r="B7" s="8" t="s">
        <v>1254</v>
      </c>
      <c r="C7" s="8" t="s">
        <v>1255</v>
      </c>
      <c r="D7" s="8" t="s">
        <v>1256</v>
      </c>
    </row>
    <row r="8" spans="1:4" ht="28.8">
      <c r="A8" s="8" t="s">
        <v>1027</v>
      </c>
      <c r="B8" s="8" t="s">
        <v>1257</v>
      </c>
      <c r="C8" s="8" t="s">
        <v>1258</v>
      </c>
      <c r="D8" s="8" t="s">
        <v>1259</v>
      </c>
    </row>
    <row r="9" spans="1:4">
      <c r="A9" s="8" t="s">
        <v>1067</v>
      </c>
      <c r="B9" s="8" t="s">
        <v>1260</v>
      </c>
      <c r="C9" s="8" t="s">
        <v>1247</v>
      </c>
      <c r="D9" s="8" t="s">
        <v>1261</v>
      </c>
    </row>
    <row r="10" spans="1:4" ht="28.8">
      <c r="A10" s="8" t="s">
        <v>1083</v>
      </c>
      <c r="B10" s="8" t="s">
        <v>1262</v>
      </c>
      <c r="C10" s="8" t="s">
        <v>1263</v>
      </c>
      <c r="D10" s="8" t="s">
        <v>1264</v>
      </c>
    </row>
    <row r="11" spans="1:4" ht="28.8">
      <c r="A11" s="8" t="s">
        <v>1265</v>
      </c>
      <c r="B11" s="8" t="s">
        <v>1266</v>
      </c>
      <c r="C11" s="8" t="s">
        <v>1244</v>
      </c>
      <c r="D11" s="8" t="s">
        <v>1267</v>
      </c>
    </row>
    <row r="12" spans="1:4">
      <c r="A12" s="8" t="s">
        <v>1115</v>
      </c>
      <c r="B12" s="8" t="s">
        <v>1268</v>
      </c>
      <c r="C12" s="8" t="s">
        <v>1244</v>
      </c>
      <c r="D12" s="8" t="s">
        <v>1269</v>
      </c>
    </row>
    <row r="13" spans="1:4" ht="28.8">
      <c r="A13" s="8" t="s">
        <v>1135</v>
      </c>
      <c r="B13" s="8" t="s">
        <v>1270</v>
      </c>
      <c r="C13" s="8" t="s">
        <v>1247</v>
      </c>
      <c r="D13" s="8" t="s">
        <v>1271</v>
      </c>
    </row>
    <row r="14" spans="1:4" ht="28.8">
      <c r="A14" s="8" t="s">
        <v>1272</v>
      </c>
      <c r="B14" s="8" t="s">
        <v>1273</v>
      </c>
      <c r="C14" s="8" t="s">
        <v>1274</v>
      </c>
      <c r="D14" s="8" t="s">
        <v>1275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Parameters</vt:lpstr>
      <vt:lpstr>NISR_Source_Mapping</vt:lpstr>
      <vt:lpstr>Report_Register</vt:lpstr>
      <vt:lpstr>Proposed_Updates</vt:lpstr>
      <vt:lpstr>Validation_Lists</vt:lpstr>
      <vt:lpstr>Automation_Guide</vt:lpstr>
      <vt:lpstr>Correction_Log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kwizera pieron</cp:lastModifiedBy>
  <dcterms:created xsi:type="dcterms:W3CDTF">2026-07-21T08:39:04Z</dcterms:created>
  <dcterms:modified xsi:type="dcterms:W3CDTF">2026-08-11T08:36:12Z</dcterms:modified>
</cp:coreProperties>
</file>